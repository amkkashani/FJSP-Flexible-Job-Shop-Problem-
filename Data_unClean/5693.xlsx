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3895" windowHeight="9465"/>
  </bookViews>
  <sheets>
    <sheet name="5699" sheetId="1" r:id="rId1"/>
  </sheets>
  <definedNames>
    <definedName name="_xlnm._FilterDatabase" localSheetId="0" hidden="1">'5699'!$A$2:$AO$2</definedName>
  </definedNames>
  <calcPr calcId="124519"/>
</workbook>
</file>

<file path=xl/calcChain.xml><?xml version="1.0" encoding="utf-8"?>
<calcChain xmlns="http://schemas.openxmlformats.org/spreadsheetml/2006/main">
  <c r="AJ462" i="1"/>
  <c r="AJ3"/>
  <c r="AN3"/>
  <c r="AM3"/>
  <c r="AL3"/>
  <c r="AK3"/>
  <c r="AH4"/>
  <c r="AH5"/>
  <c r="AO5" s="1"/>
  <c r="AH6"/>
  <c r="AO6" s="1"/>
  <c r="AH7"/>
  <c r="AH8"/>
  <c r="AH9"/>
  <c r="AO9" s="1"/>
  <c r="AH10"/>
  <c r="AH11"/>
  <c r="AH12"/>
  <c r="AH13"/>
  <c r="AO13" s="1"/>
  <c r="AH14"/>
  <c r="AO14" s="1"/>
  <c r="AH15"/>
  <c r="AH16"/>
  <c r="AH17"/>
  <c r="AO17" s="1"/>
  <c r="AH18"/>
  <c r="AH19"/>
  <c r="AH20"/>
  <c r="AH21"/>
  <c r="AO21" s="1"/>
  <c r="AH22"/>
  <c r="AO22" s="1"/>
  <c r="AH23"/>
  <c r="AH24"/>
  <c r="AH25"/>
  <c r="AO25" s="1"/>
  <c r="AH26"/>
  <c r="AH27"/>
  <c r="AH28"/>
  <c r="AH29"/>
  <c r="AO29" s="1"/>
  <c r="AH30"/>
  <c r="AO30" s="1"/>
  <c r="AH31"/>
  <c r="AH32"/>
  <c r="AH33"/>
  <c r="AO33" s="1"/>
  <c r="AH34"/>
  <c r="AH35"/>
  <c r="AH36"/>
  <c r="AH37"/>
  <c r="AO37" s="1"/>
  <c r="AH38"/>
  <c r="AO38" s="1"/>
  <c r="AH39"/>
  <c r="AH40"/>
  <c r="AH41"/>
  <c r="AO41" s="1"/>
  <c r="AH42"/>
  <c r="AH43"/>
  <c r="AH44"/>
  <c r="AH45"/>
  <c r="AO45" s="1"/>
  <c r="AH46"/>
  <c r="AO46" s="1"/>
  <c r="AH47"/>
  <c r="AH48"/>
  <c r="AH49"/>
  <c r="AO49" s="1"/>
  <c r="AH50"/>
  <c r="AH51"/>
  <c r="AH52"/>
  <c r="AH53"/>
  <c r="AO53" s="1"/>
  <c r="AH54"/>
  <c r="AO54" s="1"/>
  <c r="AH55"/>
  <c r="AH56"/>
  <c r="AH57"/>
  <c r="AO57" s="1"/>
  <c r="AH58"/>
  <c r="AH59"/>
  <c r="AH60"/>
  <c r="AH61"/>
  <c r="AO61" s="1"/>
  <c r="AH62"/>
  <c r="AO62" s="1"/>
  <c r="AH63"/>
  <c r="AH64"/>
  <c r="AH65"/>
  <c r="AO65" s="1"/>
  <c r="AH66"/>
  <c r="AH67"/>
  <c r="AH68"/>
  <c r="AH69"/>
  <c r="AO69" s="1"/>
  <c r="AH70"/>
  <c r="AO70" s="1"/>
  <c r="AH71"/>
  <c r="AH72"/>
  <c r="AH73"/>
  <c r="AO73" s="1"/>
  <c r="AH74"/>
  <c r="AH75"/>
  <c r="AH76"/>
  <c r="AH77"/>
  <c r="AO77" s="1"/>
  <c r="AH78"/>
  <c r="AO78" s="1"/>
  <c r="AH79"/>
  <c r="AH80"/>
  <c r="AH81"/>
  <c r="AO81" s="1"/>
  <c r="AH82"/>
  <c r="AH83"/>
  <c r="AH84"/>
  <c r="AH85"/>
  <c r="AO85" s="1"/>
  <c r="AH86"/>
  <c r="AO86" s="1"/>
  <c r="AH87"/>
  <c r="AH88"/>
  <c r="AH89"/>
  <c r="AO89" s="1"/>
  <c r="AH90"/>
  <c r="AH91"/>
  <c r="AH92"/>
  <c r="AH93"/>
  <c r="AO93" s="1"/>
  <c r="AH94"/>
  <c r="AO94" s="1"/>
  <c r="AH95"/>
  <c r="AH96"/>
  <c r="AH97"/>
  <c r="AO97" s="1"/>
  <c r="AH98"/>
  <c r="AH99"/>
  <c r="AH100"/>
  <c r="AH101"/>
  <c r="AO101" s="1"/>
  <c r="AH102"/>
  <c r="AO102" s="1"/>
  <c r="AH103"/>
  <c r="AH104"/>
  <c r="AH105"/>
  <c r="AO105" s="1"/>
  <c r="AH106"/>
  <c r="AH107"/>
  <c r="AH108"/>
  <c r="AH109"/>
  <c r="AO109" s="1"/>
  <c r="AH110"/>
  <c r="AO110" s="1"/>
  <c r="AH111"/>
  <c r="AH112"/>
  <c r="AH113"/>
  <c r="AO113" s="1"/>
  <c r="AH114"/>
  <c r="AH115"/>
  <c r="AH116"/>
  <c r="AH117"/>
  <c r="AO117" s="1"/>
  <c r="AH118"/>
  <c r="AO118" s="1"/>
  <c r="AH119"/>
  <c r="AH120"/>
  <c r="AH121"/>
  <c r="AO121" s="1"/>
  <c r="AH122"/>
  <c r="AH123"/>
  <c r="AH124"/>
  <c r="AH125"/>
  <c r="AO125" s="1"/>
  <c r="AH126"/>
  <c r="AO126" s="1"/>
  <c r="AH127"/>
  <c r="AH128"/>
  <c r="AH129"/>
  <c r="AO129" s="1"/>
  <c r="AH130"/>
  <c r="AH131"/>
  <c r="AH132"/>
  <c r="AH133"/>
  <c r="AO133" s="1"/>
  <c r="AH134"/>
  <c r="AO134" s="1"/>
  <c r="AH135"/>
  <c r="AH136"/>
  <c r="AH137"/>
  <c r="AO137" s="1"/>
  <c r="AH138"/>
  <c r="AH139"/>
  <c r="AH140"/>
  <c r="AH141"/>
  <c r="AO141" s="1"/>
  <c r="AH142"/>
  <c r="AO142" s="1"/>
  <c r="AH143"/>
  <c r="AH144"/>
  <c r="AH145"/>
  <c r="AO145" s="1"/>
  <c r="AH146"/>
  <c r="AH147"/>
  <c r="AH148"/>
  <c r="AH149"/>
  <c r="AO149" s="1"/>
  <c r="AH150"/>
  <c r="AO150" s="1"/>
  <c r="AH151"/>
  <c r="AH152"/>
  <c r="AH153"/>
  <c r="AO153" s="1"/>
  <c r="AH154"/>
  <c r="AH155"/>
  <c r="AH156"/>
  <c r="AH157"/>
  <c r="AO157" s="1"/>
  <c r="AH158"/>
  <c r="AO158" s="1"/>
  <c r="AH159"/>
  <c r="AH160"/>
  <c r="AH161"/>
  <c r="AO161" s="1"/>
  <c r="AH162"/>
  <c r="AH163"/>
  <c r="AH164"/>
  <c r="AH165"/>
  <c r="AO165" s="1"/>
  <c r="AH166"/>
  <c r="AO166" s="1"/>
  <c r="AH167"/>
  <c r="AH168"/>
  <c r="AH169"/>
  <c r="AO169" s="1"/>
  <c r="AH170"/>
  <c r="AH171"/>
  <c r="AH172"/>
  <c r="AH173"/>
  <c r="AO173" s="1"/>
  <c r="AH174"/>
  <c r="AO174" s="1"/>
  <c r="AH175"/>
  <c r="AH176"/>
  <c r="AH177"/>
  <c r="AO177" s="1"/>
  <c r="AH178"/>
  <c r="AH179"/>
  <c r="AH180"/>
  <c r="AH181"/>
  <c r="AO181" s="1"/>
  <c r="AH182"/>
  <c r="AO182" s="1"/>
  <c r="AH183"/>
  <c r="AH184"/>
  <c r="AH185"/>
  <c r="AH186"/>
  <c r="AH187"/>
  <c r="AH188"/>
  <c r="AH189"/>
  <c r="AO189" s="1"/>
  <c r="AH190"/>
  <c r="AH191"/>
  <c r="AH192"/>
  <c r="AH193"/>
  <c r="AO193" s="1"/>
  <c r="AH194"/>
  <c r="AO194" s="1"/>
  <c r="AH195"/>
  <c r="AH196"/>
  <c r="AH197"/>
  <c r="AH198"/>
  <c r="AH199"/>
  <c r="AH200"/>
  <c r="AH201"/>
  <c r="AO201" s="1"/>
  <c r="AH202"/>
  <c r="AH203"/>
  <c r="AH204"/>
  <c r="AH205"/>
  <c r="AO205" s="1"/>
  <c r="AH206"/>
  <c r="AO206" s="1"/>
  <c r="AH207"/>
  <c r="AH208"/>
  <c r="AH209"/>
  <c r="AO209" s="1"/>
  <c r="AH210"/>
  <c r="AO210" s="1"/>
  <c r="AH211"/>
  <c r="AH212"/>
  <c r="AH213"/>
  <c r="AO213" s="1"/>
  <c r="AH214"/>
  <c r="AH215"/>
  <c r="AH216"/>
  <c r="AH217"/>
  <c r="AO217" s="1"/>
  <c r="AH218"/>
  <c r="AO218" s="1"/>
  <c r="AH219"/>
  <c r="AH220"/>
  <c r="AH221"/>
  <c r="AO221" s="1"/>
  <c r="AH222"/>
  <c r="AO222" s="1"/>
  <c r="AH223"/>
  <c r="AH224"/>
  <c r="AH225"/>
  <c r="AH226"/>
  <c r="AH227"/>
  <c r="AH228"/>
  <c r="AH229"/>
  <c r="AO229" s="1"/>
  <c r="AH230"/>
  <c r="AO230" s="1"/>
  <c r="AH231"/>
  <c r="AH232"/>
  <c r="AH233"/>
  <c r="AO233" s="1"/>
  <c r="AH234"/>
  <c r="AO234" s="1"/>
  <c r="AH235"/>
  <c r="AH236"/>
  <c r="AH237"/>
  <c r="AH238"/>
  <c r="AH239"/>
  <c r="AH240"/>
  <c r="AH241"/>
  <c r="AO241" s="1"/>
  <c r="AH242"/>
  <c r="AH243"/>
  <c r="AH244"/>
  <c r="AH245"/>
  <c r="AO245" s="1"/>
  <c r="AH246"/>
  <c r="AO246" s="1"/>
  <c r="AH247"/>
  <c r="AH248"/>
  <c r="AH249"/>
  <c r="AH250"/>
  <c r="AH251"/>
  <c r="AH252"/>
  <c r="AH253"/>
  <c r="AO253" s="1"/>
  <c r="AH254"/>
  <c r="AH255"/>
  <c r="AH256"/>
  <c r="AH257"/>
  <c r="AO257" s="1"/>
  <c r="AH258"/>
  <c r="AO258" s="1"/>
  <c r="AH259"/>
  <c r="AH260"/>
  <c r="AH261"/>
  <c r="AH262"/>
  <c r="AH263"/>
  <c r="AH264"/>
  <c r="AH265"/>
  <c r="AO265" s="1"/>
  <c r="AH266"/>
  <c r="AH267"/>
  <c r="AH268"/>
  <c r="AH269"/>
  <c r="AO269" s="1"/>
  <c r="AH270"/>
  <c r="AO270" s="1"/>
  <c r="AH271"/>
  <c r="AH272"/>
  <c r="AH273"/>
  <c r="AO273" s="1"/>
  <c r="AH274"/>
  <c r="AO274" s="1"/>
  <c r="AH275"/>
  <c r="AH276"/>
  <c r="AH277"/>
  <c r="AO277" s="1"/>
  <c r="AH278"/>
  <c r="AH279"/>
  <c r="AH280"/>
  <c r="AH281"/>
  <c r="AO281" s="1"/>
  <c r="AH282"/>
  <c r="AO282" s="1"/>
  <c r="AH283"/>
  <c r="AH284"/>
  <c r="AH285"/>
  <c r="AO285" s="1"/>
  <c r="AH286"/>
  <c r="AO286" s="1"/>
  <c r="AH287"/>
  <c r="AH288"/>
  <c r="AH289"/>
  <c r="AH290"/>
  <c r="AH291"/>
  <c r="AH292"/>
  <c r="AH293"/>
  <c r="AO293" s="1"/>
  <c r="AH294"/>
  <c r="AO294" s="1"/>
  <c r="AH295"/>
  <c r="AH296"/>
  <c r="AH297"/>
  <c r="AO297" s="1"/>
  <c r="AH298"/>
  <c r="AO298" s="1"/>
  <c r="AH299"/>
  <c r="AH300"/>
  <c r="AH301"/>
  <c r="AH302"/>
  <c r="AH303"/>
  <c r="AH304"/>
  <c r="AH305"/>
  <c r="AO305" s="1"/>
  <c r="AH306"/>
  <c r="AH307"/>
  <c r="AH308"/>
  <c r="AH309"/>
  <c r="AO309" s="1"/>
  <c r="AH310"/>
  <c r="AO310" s="1"/>
  <c r="AH311"/>
  <c r="AH312"/>
  <c r="AH313"/>
  <c r="AH314"/>
  <c r="AH315"/>
  <c r="AH316"/>
  <c r="AH317"/>
  <c r="AO317" s="1"/>
  <c r="AH318"/>
  <c r="AH319"/>
  <c r="AH320"/>
  <c r="AH321"/>
  <c r="AO321" s="1"/>
  <c r="AH322"/>
  <c r="AO322" s="1"/>
  <c r="AH323"/>
  <c r="AH324"/>
  <c r="AH325"/>
  <c r="AH326"/>
  <c r="AH327"/>
  <c r="AH328"/>
  <c r="AH329"/>
  <c r="AO329" s="1"/>
  <c r="AH330"/>
  <c r="AH331"/>
  <c r="AH332"/>
  <c r="AH333"/>
  <c r="AO333" s="1"/>
  <c r="AH334"/>
  <c r="AO334" s="1"/>
  <c r="AH335"/>
  <c r="AH336"/>
  <c r="AH337"/>
  <c r="AO337" s="1"/>
  <c r="AH338"/>
  <c r="AO338" s="1"/>
  <c r="AH339"/>
  <c r="AH340"/>
  <c r="AH341"/>
  <c r="AO341" s="1"/>
  <c r="AH342"/>
  <c r="AH343"/>
  <c r="AH344"/>
  <c r="AH345"/>
  <c r="AO345" s="1"/>
  <c r="AH346"/>
  <c r="AO346" s="1"/>
  <c r="AH347"/>
  <c r="AH348"/>
  <c r="AH349"/>
  <c r="AO349" s="1"/>
  <c r="AH350"/>
  <c r="AO350" s="1"/>
  <c r="AH351"/>
  <c r="AH352"/>
  <c r="AH353"/>
  <c r="AH354"/>
  <c r="AH355"/>
  <c r="AH356"/>
  <c r="AH357"/>
  <c r="AO357" s="1"/>
  <c r="AH358"/>
  <c r="AO358" s="1"/>
  <c r="AH359"/>
  <c r="AH360"/>
  <c r="AH361"/>
  <c r="AO361" s="1"/>
  <c r="AH362"/>
  <c r="AO362" s="1"/>
  <c r="AH363"/>
  <c r="AH364"/>
  <c r="AH365"/>
  <c r="AH366"/>
  <c r="AH367"/>
  <c r="AH368"/>
  <c r="AH369"/>
  <c r="AO369" s="1"/>
  <c r="AH370"/>
  <c r="AH371"/>
  <c r="AH372"/>
  <c r="AH373"/>
  <c r="AO373" s="1"/>
  <c r="AH374"/>
  <c r="AO374" s="1"/>
  <c r="AH375"/>
  <c r="AH376"/>
  <c r="AH377"/>
  <c r="AH378"/>
  <c r="AH379"/>
  <c r="AH380"/>
  <c r="AH381"/>
  <c r="AO381" s="1"/>
  <c r="AH382"/>
  <c r="AH383"/>
  <c r="AH384"/>
  <c r="AH385"/>
  <c r="AO385" s="1"/>
  <c r="AH386"/>
  <c r="AO386" s="1"/>
  <c r="AH387"/>
  <c r="AH388"/>
  <c r="AH389"/>
  <c r="AH390"/>
  <c r="AH391"/>
  <c r="AH392"/>
  <c r="AH393"/>
  <c r="AO393" s="1"/>
  <c r="AH394"/>
  <c r="AH395"/>
  <c r="AH396"/>
  <c r="AH397"/>
  <c r="AO397" s="1"/>
  <c r="AH398"/>
  <c r="AO398" s="1"/>
  <c r="AH399"/>
  <c r="AH400"/>
  <c r="AH401"/>
  <c r="AO401" s="1"/>
  <c r="AH402"/>
  <c r="AO402" s="1"/>
  <c r="AH403"/>
  <c r="AH404"/>
  <c r="AH405"/>
  <c r="AO405" s="1"/>
  <c r="AH406"/>
  <c r="AH407"/>
  <c r="AH408"/>
  <c r="AH409"/>
  <c r="AO409" s="1"/>
  <c r="AH410"/>
  <c r="AO410" s="1"/>
  <c r="AH411"/>
  <c r="AH412"/>
  <c r="AH413"/>
  <c r="AO413" s="1"/>
  <c r="AH414"/>
  <c r="AO414" s="1"/>
  <c r="AH415"/>
  <c r="AH416"/>
  <c r="AH417"/>
  <c r="AH418"/>
  <c r="AH419"/>
  <c r="AH420"/>
  <c r="AH421"/>
  <c r="AO421" s="1"/>
  <c r="AH422"/>
  <c r="AO422" s="1"/>
  <c r="AH423"/>
  <c r="AH424"/>
  <c r="AH425"/>
  <c r="AO425" s="1"/>
  <c r="AH426"/>
  <c r="AO426" s="1"/>
  <c r="AH427"/>
  <c r="AH428"/>
  <c r="AH429"/>
  <c r="AH430"/>
  <c r="AH431"/>
  <c r="AH432"/>
  <c r="AH433"/>
  <c r="AO433" s="1"/>
  <c r="AH434"/>
  <c r="AH435"/>
  <c r="AH436"/>
  <c r="AH437"/>
  <c r="AO437" s="1"/>
  <c r="AH438"/>
  <c r="AO438" s="1"/>
  <c r="AH439"/>
  <c r="AH440"/>
  <c r="AH441"/>
  <c r="AH442"/>
  <c r="AH443"/>
  <c r="AH444"/>
  <c r="AH445"/>
  <c r="AO445" s="1"/>
  <c r="AH446"/>
  <c r="AH447"/>
  <c r="AH448"/>
  <c r="AH449"/>
  <c r="AO449" s="1"/>
  <c r="AH450"/>
  <c r="AO450" s="1"/>
  <c r="AH451"/>
  <c r="AH452"/>
  <c r="AH453"/>
  <c r="AH454"/>
  <c r="AH455"/>
  <c r="AH456"/>
  <c r="AH457"/>
  <c r="AO457" s="1"/>
  <c r="AH458"/>
  <c r="AH459"/>
  <c r="AH460"/>
  <c r="AH461"/>
  <c r="AO461" s="1"/>
  <c r="AH462"/>
  <c r="AO462" s="1"/>
  <c r="AH3"/>
  <c r="AO3" s="1"/>
  <c r="AG4"/>
  <c r="AG5"/>
  <c r="AG6"/>
  <c r="AN6" s="1"/>
  <c r="AG7"/>
  <c r="AG8"/>
  <c r="AG9"/>
  <c r="AG10"/>
  <c r="AG11"/>
  <c r="AG12"/>
  <c r="AG13"/>
  <c r="AN13" s="1"/>
  <c r="AG14"/>
  <c r="AN14" s="1"/>
  <c r="AG15"/>
  <c r="AG16"/>
  <c r="AG17"/>
  <c r="AN17" s="1"/>
  <c r="AG18"/>
  <c r="AG19"/>
  <c r="AG20"/>
  <c r="AG21"/>
  <c r="AN21" s="1"/>
  <c r="AG22"/>
  <c r="AG23"/>
  <c r="AG24"/>
  <c r="AG25"/>
  <c r="AN25" s="1"/>
  <c r="AG26"/>
  <c r="AN26" s="1"/>
  <c r="AG27"/>
  <c r="AG28"/>
  <c r="AG29"/>
  <c r="AN29" s="1"/>
  <c r="AG30"/>
  <c r="AG31"/>
  <c r="AG32"/>
  <c r="AG33"/>
  <c r="AN33" s="1"/>
  <c r="AG34"/>
  <c r="AG35"/>
  <c r="AG36"/>
  <c r="AG37"/>
  <c r="AG38"/>
  <c r="AN38" s="1"/>
  <c r="AG39"/>
  <c r="AG40"/>
  <c r="AG41"/>
  <c r="AG42"/>
  <c r="AG43"/>
  <c r="AG44"/>
  <c r="AG45"/>
  <c r="AN45" s="1"/>
  <c r="AG46"/>
  <c r="AN46" s="1"/>
  <c r="AG47"/>
  <c r="AG48"/>
  <c r="AG49"/>
  <c r="AN49" s="1"/>
  <c r="AG50"/>
  <c r="AG51"/>
  <c r="AG52"/>
  <c r="AG53"/>
  <c r="AN53" s="1"/>
  <c r="AG54"/>
  <c r="AG55"/>
  <c r="AG56"/>
  <c r="AG57"/>
  <c r="AN57" s="1"/>
  <c r="AG58"/>
  <c r="AN58" s="1"/>
  <c r="AG59"/>
  <c r="AG60"/>
  <c r="AG61"/>
  <c r="AN61" s="1"/>
  <c r="AG62"/>
  <c r="AG63"/>
  <c r="AG64"/>
  <c r="AG65"/>
  <c r="AN65" s="1"/>
  <c r="AG66"/>
  <c r="AG67"/>
  <c r="AG68"/>
  <c r="AG69"/>
  <c r="AG70"/>
  <c r="AN70" s="1"/>
  <c r="AG71"/>
  <c r="AG72"/>
  <c r="AG73"/>
  <c r="AG74"/>
  <c r="AN74" s="1"/>
  <c r="AG75"/>
  <c r="AG76"/>
  <c r="AG77"/>
  <c r="AN77" s="1"/>
  <c r="AG78"/>
  <c r="AN78" s="1"/>
  <c r="AG79"/>
  <c r="AG80"/>
  <c r="AG81"/>
  <c r="AN81" s="1"/>
  <c r="AG82"/>
  <c r="AG83"/>
  <c r="AG84"/>
  <c r="AG85"/>
  <c r="AN85" s="1"/>
  <c r="AG86"/>
  <c r="AG87"/>
  <c r="AG88"/>
  <c r="AG89"/>
  <c r="AN89" s="1"/>
  <c r="AG90"/>
  <c r="AN90" s="1"/>
  <c r="AG91"/>
  <c r="AG92"/>
  <c r="AG93"/>
  <c r="AN93" s="1"/>
  <c r="AG94"/>
  <c r="AG95"/>
  <c r="AG96"/>
  <c r="AG97"/>
  <c r="AG98"/>
  <c r="AG99"/>
  <c r="AG100"/>
  <c r="AG101"/>
  <c r="AG102"/>
  <c r="AG103"/>
  <c r="AG104"/>
  <c r="AG105"/>
  <c r="AG106"/>
  <c r="AG107"/>
  <c r="AG108"/>
  <c r="AG109"/>
  <c r="AN109" s="1"/>
  <c r="AG110"/>
  <c r="AN110" s="1"/>
  <c r="AG111"/>
  <c r="AG112"/>
  <c r="AG113"/>
  <c r="AG114"/>
  <c r="AG115"/>
  <c r="AG116"/>
  <c r="AG117"/>
  <c r="AN117" s="1"/>
  <c r="AG118"/>
  <c r="AG119"/>
  <c r="AG120"/>
  <c r="AG121"/>
  <c r="AG122"/>
  <c r="AG123"/>
  <c r="AG124"/>
  <c r="AG125"/>
  <c r="AN125" s="1"/>
  <c r="AG126"/>
  <c r="AN126" s="1"/>
  <c r="AG127"/>
  <c r="AG128"/>
  <c r="AG129"/>
  <c r="AN129" s="1"/>
  <c r="AG130"/>
  <c r="AG131"/>
  <c r="AG132"/>
  <c r="AG133"/>
  <c r="AN133" s="1"/>
  <c r="AG134"/>
  <c r="AN134" s="1"/>
  <c r="AG135"/>
  <c r="AG136"/>
  <c r="AG137"/>
  <c r="AG138"/>
  <c r="AG139"/>
  <c r="AG140"/>
  <c r="AG141"/>
  <c r="AN141" s="1"/>
  <c r="AG142"/>
  <c r="AN142" s="1"/>
  <c r="AG143"/>
  <c r="AG144"/>
  <c r="AG145"/>
  <c r="AG146"/>
  <c r="AG147"/>
  <c r="AG148"/>
  <c r="AG149"/>
  <c r="AN149" s="1"/>
  <c r="AG150"/>
  <c r="AG151"/>
  <c r="AG152"/>
  <c r="AG153"/>
  <c r="AG154"/>
  <c r="AG155"/>
  <c r="AG156"/>
  <c r="AG157"/>
  <c r="AN157" s="1"/>
  <c r="AG158"/>
  <c r="AN158" s="1"/>
  <c r="AG159"/>
  <c r="AG160"/>
  <c r="AG161"/>
  <c r="AN161" s="1"/>
  <c r="AG162"/>
  <c r="AG163"/>
  <c r="AG164"/>
  <c r="AG165"/>
  <c r="AN165" s="1"/>
  <c r="AG166"/>
  <c r="AN166" s="1"/>
  <c r="AG167"/>
  <c r="AG168"/>
  <c r="AG169"/>
  <c r="AG170"/>
  <c r="AG171"/>
  <c r="AG172"/>
  <c r="AG173"/>
  <c r="AN173" s="1"/>
  <c r="AG174"/>
  <c r="AN174" s="1"/>
  <c r="AG175"/>
  <c r="AG176"/>
  <c r="AG177"/>
  <c r="AG178"/>
  <c r="AG179"/>
  <c r="AG180"/>
  <c r="AG181"/>
  <c r="AN181" s="1"/>
  <c r="AG182"/>
  <c r="AG183"/>
  <c r="AG184"/>
  <c r="AG185"/>
  <c r="AG186"/>
  <c r="AG187"/>
  <c r="AG188"/>
  <c r="AG189"/>
  <c r="AN189" s="1"/>
  <c r="AG190"/>
  <c r="AN190" s="1"/>
  <c r="AG191"/>
  <c r="AG192"/>
  <c r="AG193"/>
  <c r="AN193" s="1"/>
  <c r="AG194"/>
  <c r="AG195"/>
  <c r="AG196"/>
  <c r="AG197"/>
  <c r="AN197" s="1"/>
  <c r="AG198"/>
  <c r="AG199"/>
  <c r="AG200"/>
  <c r="AG201"/>
  <c r="AG202"/>
  <c r="AG203"/>
  <c r="AG204"/>
  <c r="AG205"/>
  <c r="AN205" s="1"/>
  <c r="AG206"/>
  <c r="AN206" s="1"/>
  <c r="AG207"/>
  <c r="AG208"/>
  <c r="AG209"/>
  <c r="AG210"/>
  <c r="AG211"/>
  <c r="AG212"/>
  <c r="AG213"/>
  <c r="AN213" s="1"/>
  <c r="AG214"/>
  <c r="AG215"/>
  <c r="AG216"/>
  <c r="AG217"/>
  <c r="AG218"/>
  <c r="AG219"/>
  <c r="AG220"/>
  <c r="AG221"/>
  <c r="AN221" s="1"/>
  <c r="AG222"/>
  <c r="AN222" s="1"/>
  <c r="AG223"/>
  <c r="AG224"/>
  <c r="AG225"/>
  <c r="AN225" s="1"/>
  <c r="AG226"/>
  <c r="AN226" s="1"/>
  <c r="AG227"/>
  <c r="AG228"/>
  <c r="AG229"/>
  <c r="AN229" s="1"/>
  <c r="AG230"/>
  <c r="AG231"/>
  <c r="AG232"/>
  <c r="AG233"/>
  <c r="AG234"/>
  <c r="AG235"/>
  <c r="AG236"/>
  <c r="AG237"/>
  <c r="AN237" s="1"/>
  <c r="AG238"/>
  <c r="AN238" s="1"/>
  <c r="AG239"/>
  <c r="AG240"/>
  <c r="AG241"/>
  <c r="AG242"/>
  <c r="AG243"/>
  <c r="AG244"/>
  <c r="AG245"/>
  <c r="AN245" s="1"/>
  <c r="AG246"/>
  <c r="AN246" s="1"/>
  <c r="AG247"/>
  <c r="AG248"/>
  <c r="AG249"/>
  <c r="AG250"/>
  <c r="AG251"/>
  <c r="AG252"/>
  <c r="AG253"/>
  <c r="AN253" s="1"/>
  <c r="AG254"/>
  <c r="AN254" s="1"/>
  <c r="AG255"/>
  <c r="AG256"/>
  <c r="AG257"/>
  <c r="AN257" s="1"/>
  <c r="AG258"/>
  <c r="AN258" s="1"/>
  <c r="AG259"/>
  <c r="AG260"/>
  <c r="AG261"/>
  <c r="AN261" s="1"/>
  <c r="AG262"/>
  <c r="AG263"/>
  <c r="AG264"/>
  <c r="AG265"/>
  <c r="AG266"/>
  <c r="AG267"/>
  <c r="AG268"/>
  <c r="AG269"/>
  <c r="AN269" s="1"/>
  <c r="AG270"/>
  <c r="AN270" s="1"/>
  <c r="AG271"/>
  <c r="AG272"/>
  <c r="AG273"/>
  <c r="AG274"/>
  <c r="AG275"/>
  <c r="AG276"/>
  <c r="AG277"/>
  <c r="AN277" s="1"/>
  <c r="AG278"/>
  <c r="AN278" s="1"/>
  <c r="AG279"/>
  <c r="AG280"/>
  <c r="AG281"/>
  <c r="AG282"/>
  <c r="AG283"/>
  <c r="AG284"/>
  <c r="AG285"/>
  <c r="AN285" s="1"/>
  <c r="AG286"/>
  <c r="AN286" s="1"/>
  <c r="AG287"/>
  <c r="AG288"/>
  <c r="AG289"/>
  <c r="AN289" s="1"/>
  <c r="AG290"/>
  <c r="AN290" s="1"/>
  <c r="AG291"/>
  <c r="AG292"/>
  <c r="AG293"/>
  <c r="AN293" s="1"/>
  <c r="AG294"/>
  <c r="AG295"/>
  <c r="AG296"/>
  <c r="AG297"/>
  <c r="AG298"/>
  <c r="AG299"/>
  <c r="AG300"/>
  <c r="AG301"/>
  <c r="AN301" s="1"/>
  <c r="AG302"/>
  <c r="AN302" s="1"/>
  <c r="AG303"/>
  <c r="AG304"/>
  <c r="AG305"/>
  <c r="AG306"/>
  <c r="AG307"/>
  <c r="AG308"/>
  <c r="AG309"/>
  <c r="AN309" s="1"/>
  <c r="AG310"/>
  <c r="AN310" s="1"/>
  <c r="AG311"/>
  <c r="AG312"/>
  <c r="AG313"/>
  <c r="AG314"/>
  <c r="AG315"/>
  <c r="AG316"/>
  <c r="AG317"/>
  <c r="AN317" s="1"/>
  <c r="AG318"/>
  <c r="AN318" s="1"/>
  <c r="AG319"/>
  <c r="AG320"/>
  <c r="AG321"/>
  <c r="AN321" s="1"/>
  <c r="AG322"/>
  <c r="AN322" s="1"/>
  <c r="AG323"/>
  <c r="AG324"/>
  <c r="AG325"/>
  <c r="AN325" s="1"/>
  <c r="AG326"/>
  <c r="AN326" s="1"/>
  <c r="AG327"/>
  <c r="AG328"/>
  <c r="AG329"/>
  <c r="AG330"/>
  <c r="AG331"/>
  <c r="AG332"/>
  <c r="AG333"/>
  <c r="AN333" s="1"/>
  <c r="AG334"/>
  <c r="AN334" s="1"/>
  <c r="AG335"/>
  <c r="AG336"/>
  <c r="AG337"/>
  <c r="AG338"/>
  <c r="AG339"/>
  <c r="AG340"/>
  <c r="AG341"/>
  <c r="AN341" s="1"/>
  <c r="AG342"/>
  <c r="AN342" s="1"/>
  <c r="AG343"/>
  <c r="AG344"/>
  <c r="AG345"/>
  <c r="AG346"/>
  <c r="AG347"/>
  <c r="AG348"/>
  <c r="AG349"/>
  <c r="AN349" s="1"/>
  <c r="AG350"/>
  <c r="AN350" s="1"/>
  <c r="AG351"/>
  <c r="AG352"/>
  <c r="AG353"/>
  <c r="AN353" s="1"/>
  <c r="AG354"/>
  <c r="AG355"/>
  <c r="AG356"/>
  <c r="AG357"/>
  <c r="AG358"/>
  <c r="AG359"/>
  <c r="AG360"/>
  <c r="AG361"/>
  <c r="AN361" s="1"/>
  <c r="AG362"/>
  <c r="AN362" s="1"/>
  <c r="AG363"/>
  <c r="AG364"/>
  <c r="AG365"/>
  <c r="AG366"/>
  <c r="AG367"/>
  <c r="AG368"/>
  <c r="AG369"/>
  <c r="AN369" s="1"/>
  <c r="AG370"/>
  <c r="AN370" s="1"/>
  <c r="AG371"/>
  <c r="AG372"/>
  <c r="AG373"/>
  <c r="AG374"/>
  <c r="AG375"/>
  <c r="AG376"/>
  <c r="AG377"/>
  <c r="AN377" s="1"/>
  <c r="AG378"/>
  <c r="AG379"/>
  <c r="AG380"/>
  <c r="AG381"/>
  <c r="AG382"/>
  <c r="AG383"/>
  <c r="AG384"/>
  <c r="AG385"/>
  <c r="AN385" s="1"/>
  <c r="AG386"/>
  <c r="AN386" s="1"/>
  <c r="AG387"/>
  <c r="AG388"/>
  <c r="AG389"/>
  <c r="AN389" s="1"/>
  <c r="AG390"/>
  <c r="AG391"/>
  <c r="AG392"/>
  <c r="AG393"/>
  <c r="AG394"/>
  <c r="AN394" s="1"/>
  <c r="AG395"/>
  <c r="AG396"/>
  <c r="AG397"/>
  <c r="AN397" s="1"/>
  <c r="AG398"/>
  <c r="AN398" s="1"/>
  <c r="AG399"/>
  <c r="AG400"/>
  <c r="AG401"/>
  <c r="AG402"/>
  <c r="AG403"/>
  <c r="AG404"/>
  <c r="AG405"/>
  <c r="AN405" s="1"/>
  <c r="AG406"/>
  <c r="AN406" s="1"/>
  <c r="AG407"/>
  <c r="AG408"/>
  <c r="AG409"/>
  <c r="AN409" s="1"/>
  <c r="AG410"/>
  <c r="AN410" s="1"/>
  <c r="AG411"/>
  <c r="AG412"/>
  <c r="AG413"/>
  <c r="AN413" s="1"/>
  <c r="AG414"/>
  <c r="AG415"/>
  <c r="AG416"/>
  <c r="AG417"/>
  <c r="AN417" s="1"/>
  <c r="AG418"/>
  <c r="AN418" s="1"/>
  <c r="AG419"/>
  <c r="AG420"/>
  <c r="AG421"/>
  <c r="AG422"/>
  <c r="AG423"/>
  <c r="AG424"/>
  <c r="AG425"/>
  <c r="AN425" s="1"/>
  <c r="AG426"/>
  <c r="AN426" s="1"/>
  <c r="AG427"/>
  <c r="AG428"/>
  <c r="AG429"/>
  <c r="AN429" s="1"/>
  <c r="AG430"/>
  <c r="AN430" s="1"/>
  <c r="AG431"/>
  <c r="AG432"/>
  <c r="AG433"/>
  <c r="AN433" s="1"/>
  <c r="AG434"/>
  <c r="AG435"/>
  <c r="AG436"/>
  <c r="AG437"/>
  <c r="AN437" s="1"/>
  <c r="AG438"/>
  <c r="AG439"/>
  <c r="AG440"/>
  <c r="AG441"/>
  <c r="AN441" s="1"/>
  <c r="AG442"/>
  <c r="AG443"/>
  <c r="AG444"/>
  <c r="AG445"/>
  <c r="AN445" s="1"/>
  <c r="AG446"/>
  <c r="AN446" s="1"/>
  <c r="AG447"/>
  <c r="AG448"/>
  <c r="AG449"/>
  <c r="AG450"/>
  <c r="AG451"/>
  <c r="AG452"/>
  <c r="AG453"/>
  <c r="AN453" s="1"/>
  <c r="AG454"/>
  <c r="AN454" s="1"/>
  <c r="AG455"/>
  <c r="AG456"/>
  <c r="AG457"/>
  <c r="AG458"/>
  <c r="AG459"/>
  <c r="AG460"/>
  <c r="AG461"/>
  <c r="AN461" s="1"/>
  <c r="AG462"/>
  <c r="AG3"/>
  <c r="AF4"/>
  <c r="AM4" s="1"/>
  <c r="AF5"/>
  <c r="AM5" s="1"/>
  <c r="AF6"/>
  <c r="AF7"/>
  <c r="AF8"/>
  <c r="AM8" s="1"/>
  <c r="AF9"/>
  <c r="AM9" s="1"/>
  <c r="AF10"/>
  <c r="AF11"/>
  <c r="AF12"/>
  <c r="AF13"/>
  <c r="AF14"/>
  <c r="AF15"/>
  <c r="AF16"/>
  <c r="AF17"/>
  <c r="AM17" s="1"/>
  <c r="AF18"/>
  <c r="AF19"/>
  <c r="AF20"/>
  <c r="AM20" s="1"/>
  <c r="AF21"/>
  <c r="AM21" s="1"/>
  <c r="AF22"/>
  <c r="AF23"/>
  <c r="AF24"/>
  <c r="AM24" s="1"/>
  <c r="AF25"/>
  <c r="AM25" s="1"/>
  <c r="AF26"/>
  <c r="AF27"/>
  <c r="AF28"/>
  <c r="AM28" s="1"/>
  <c r="AF29"/>
  <c r="AM29" s="1"/>
  <c r="AF30"/>
  <c r="AF31"/>
  <c r="AF32"/>
  <c r="AM32" s="1"/>
  <c r="AF33"/>
  <c r="AF34"/>
  <c r="AF35"/>
  <c r="AF36"/>
  <c r="AF37"/>
  <c r="AF38"/>
  <c r="AF39"/>
  <c r="AF40"/>
  <c r="AF41"/>
  <c r="AM41" s="1"/>
  <c r="AF42"/>
  <c r="AF43"/>
  <c r="AF44"/>
  <c r="AM44" s="1"/>
  <c r="AF45"/>
  <c r="AF46"/>
  <c r="AF47"/>
  <c r="AF48"/>
  <c r="AM48" s="1"/>
  <c r="AF49"/>
  <c r="AM49" s="1"/>
  <c r="AF50"/>
  <c r="AF51"/>
  <c r="AF52"/>
  <c r="AM52" s="1"/>
  <c r="AF53"/>
  <c r="AF54"/>
  <c r="AF55"/>
  <c r="AF56"/>
  <c r="AM56" s="1"/>
  <c r="AF57"/>
  <c r="AM57" s="1"/>
  <c r="AF58"/>
  <c r="AF59"/>
  <c r="AF60"/>
  <c r="AM60" s="1"/>
  <c r="AF61"/>
  <c r="AF62"/>
  <c r="AF63"/>
  <c r="AF64"/>
  <c r="AF65"/>
  <c r="AM65" s="1"/>
  <c r="AF66"/>
  <c r="AF67"/>
  <c r="AF68"/>
  <c r="AM68" s="1"/>
  <c r="AF69"/>
  <c r="AF70"/>
  <c r="AF71"/>
  <c r="AF72"/>
  <c r="AM72" s="1"/>
  <c r="AF73"/>
  <c r="AM73" s="1"/>
  <c r="AF74"/>
  <c r="AF75"/>
  <c r="AF76"/>
  <c r="AM76" s="1"/>
  <c r="AF77"/>
  <c r="AM77" s="1"/>
  <c r="AF78"/>
  <c r="AF79"/>
  <c r="AF80"/>
  <c r="AM80" s="1"/>
  <c r="AF81"/>
  <c r="AF82"/>
  <c r="AF83"/>
  <c r="AF84"/>
  <c r="AF85"/>
  <c r="AF86"/>
  <c r="AF87"/>
  <c r="AF88"/>
  <c r="AF89"/>
  <c r="AF90"/>
  <c r="AF91"/>
  <c r="AF92"/>
  <c r="AM92" s="1"/>
  <c r="AF93"/>
  <c r="AF94"/>
  <c r="AF95"/>
  <c r="AF96"/>
  <c r="AM96" s="1"/>
  <c r="AF97"/>
  <c r="AM97" s="1"/>
  <c r="AF98"/>
  <c r="AF99"/>
  <c r="AF100"/>
  <c r="AM100" s="1"/>
  <c r="AF101"/>
  <c r="AF102"/>
  <c r="AF103"/>
  <c r="AF104"/>
  <c r="AM104" s="1"/>
  <c r="AF105"/>
  <c r="AF106"/>
  <c r="AF107"/>
  <c r="AF108"/>
  <c r="AM108" s="1"/>
  <c r="AF109"/>
  <c r="AM109" s="1"/>
  <c r="AF110"/>
  <c r="AF111"/>
  <c r="AF112"/>
  <c r="AF113"/>
  <c r="AF114"/>
  <c r="AF115"/>
  <c r="AF116"/>
  <c r="AM116" s="1"/>
  <c r="AF117"/>
  <c r="AM117" s="1"/>
  <c r="AF118"/>
  <c r="AF119"/>
  <c r="AF120"/>
  <c r="AM120" s="1"/>
  <c r="AF121"/>
  <c r="AM121" s="1"/>
  <c r="AF122"/>
  <c r="AF123"/>
  <c r="AF124"/>
  <c r="AF125"/>
  <c r="AM125" s="1"/>
  <c r="AF126"/>
  <c r="AF127"/>
  <c r="AF128"/>
  <c r="AM128" s="1"/>
  <c r="AF129"/>
  <c r="AF130"/>
  <c r="AF131"/>
  <c r="AF132"/>
  <c r="AM132" s="1"/>
  <c r="AF133"/>
  <c r="AM133" s="1"/>
  <c r="AF134"/>
  <c r="AF135"/>
  <c r="AF136"/>
  <c r="AF137"/>
  <c r="AF138"/>
  <c r="AF139"/>
  <c r="AF140"/>
  <c r="AM140" s="1"/>
  <c r="AF141"/>
  <c r="AF142"/>
  <c r="AF143"/>
  <c r="AF144"/>
  <c r="AM144" s="1"/>
  <c r="AF145"/>
  <c r="AM145" s="1"/>
  <c r="AF146"/>
  <c r="AF147"/>
  <c r="AF148"/>
  <c r="AM148" s="1"/>
  <c r="AF149"/>
  <c r="AF150"/>
  <c r="AF151"/>
  <c r="AF152"/>
  <c r="AM152" s="1"/>
  <c r="AF153"/>
  <c r="AF154"/>
  <c r="AF155"/>
  <c r="AF156"/>
  <c r="AM156" s="1"/>
  <c r="AF157"/>
  <c r="AM157" s="1"/>
  <c r="AF158"/>
  <c r="AF159"/>
  <c r="AF160"/>
  <c r="AM160" s="1"/>
  <c r="AF161"/>
  <c r="AF162"/>
  <c r="AF163"/>
  <c r="AF164"/>
  <c r="AM164" s="1"/>
  <c r="AF165"/>
  <c r="AM165" s="1"/>
  <c r="AF166"/>
  <c r="AF167"/>
  <c r="AF168"/>
  <c r="AM168" s="1"/>
  <c r="AF169"/>
  <c r="AM169" s="1"/>
  <c r="AF170"/>
  <c r="AF171"/>
  <c r="AF172"/>
  <c r="AF173"/>
  <c r="AF174"/>
  <c r="AF175"/>
  <c r="AF176"/>
  <c r="AM176" s="1"/>
  <c r="AF177"/>
  <c r="AM177" s="1"/>
  <c r="AF178"/>
  <c r="AF179"/>
  <c r="AF180"/>
  <c r="AM180" s="1"/>
  <c r="AF181"/>
  <c r="AM181" s="1"/>
  <c r="AF182"/>
  <c r="AF183"/>
  <c r="AF184"/>
  <c r="AF185"/>
  <c r="AF186"/>
  <c r="AF187"/>
  <c r="AF188"/>
  <c r="AM188" s="1"/>
  <c r="AF189"/>
  <c r="AF190"/>
  <c r="AF191"/>
  <c r="AF192"/>
  <c r="AM192" s="1"/>
  <c r="AF193"/>
  <c r="AM193" s="1"/>
  <c r="AF194"/>
  <c r="AF195"/>
  <c r="AF196"/>
  <c r="AF197"/>
  <c r="AF198"/>
  <c r="AF199"/>
  <c r="AF200"/>
  <c r="AM200" s="1"/>
  <c r="AF201"/>
  <c r="AF202"/>
  <c r="AF203"/>
  <c r="AF204"/>
  <c r="AM204" s="1"/>
  <c r="AF205"/>
  <c r="AM205" s="1"/>
  <c r="AF206"/>
  <c r="AF207"/>
  <c r="AF208"/>
  <c r="AM208" s="1"/>
  <c r="AF209"/>
  <c r="AF210"/>
  <c r="AF211"/>
  <c r="AF212"/>
  <c r="AM212" s="1"/>
  <c r="AF213"/>
  <c r="AM213" s="1"/>
  <c r="AF214"/>
  <c r="AF215"/>
  <c r="AF216"/>
  <c r="AM216" s="1"/>
  <c r="AF217"/>
  <c r="AM217" s="1"/>
  <c r="AF218"/>
  <c r="AF219"/>
  <c r="AF220"/>
  <c r="AF221"/>
  <c r="AF222"/>
  <c r="AF223"/>
  <c r="AF224"/>
  <c r="AF225"/>
  <c r="AM225" s="1"/>
  <c r="AF226"/>
  <c r="AF227"/>
  <c r="AF228"/>
  <c r="AM228" s="1"/>
  <c r="AF229"/>
  <c r="AM229" s="1"/>
  <c r="AF230"/>
  <c r="AF231"/>
  <c r="AF232"/>
  <c r="AM232" s="1"/>
  <c r="AF233"/>
  <c r="AF234"/>
  <c r="AF235"/>
  <c r="AF236"/>
  <c r="AM236" s="1"/>
  <c r="AF237"/>
  <c r="AM237" s="1"/>
  <c r="AF238"/>
  <c r="AF239"/>
  <c r="AF240"/>
  <c r="AM240" s="1"/>
  <c r="AF241"/>
  <c r="AF242"/>
  <c r="AF243"/>
  <c r="AF244"/>
  <c r="AF245"/>
  <c r="AF246"/>
  <c r="AF247"/>
  <c r="AF248"/>
  <c r="AM248" s="1"/>
  <c r="AF249"/>
  <c r="AF250"/>
  <c r="AF251"/>
  <c r="AF252"/>
  <c r="AM252" s="1"/>
  <c r="AF253"/>
  <c r="AM253" s="1"/>
  <c r="AF254"/>
  <c r="AF255"/>
  <c r="AF256"/>
  <c r="AM256" s="1"/>
  <c r="AF257"/>
  <c r="AF258"/>
  <c r="AF259"/>
  <c r="AF260"/>
  <c r="AM260" s="1"/>
  <c r="AF261"/>
  <c r="AM261" s="1"/>
  <c r="AF262"/>
  <c r="AF263"/>
  <c r="AF264"/>
  <c r="AM264" s="1"/>
  <c r="AF265"/>
  <c r="AM265" s="1"/>
  <c r="AF266"/>
  <c r="AF267"/>
  <c r="AF268"/>
  <c r="AF269"/>
  <c r="AF270"/>
  <c r="AF271"/>
  <c r="AF272"/>
  <c r="AF273"/>
  <c r="AM273" s="1"/>
  <c r="AF274"/>
  <c r="AF275"/>
  <c r="AF276"/>
  <c r="AM276" s="1"/>
  <c r="AF277"/>
  <c r="AM277" s="1"/>
  <c r="AF278"/>
  <c r="AF279"/>
  <c r="AF280"/>
  <c r="AM280" s="1"/>
  <c r="AF281"/>
  <c r="AM281" s="1"/>
  <c r="AF282"/>
  <c r="AF283"/>
  <c r="AF284"/>
  <c r="AM284" s="1"/>
  <c r="AF285"/>
  <c r="AM285" s="1"/>
  <c r="AF286"/>
  <c r="AF287"/>
  <c r="AF288"/>
  <c r="AM288" s="1"/>
  <c r="AF289"/>
  <c r="AF290"/>
  <c r="AF291"/>
  <c r="AF292"/>
  <c r="AF293"/>
  <c r="AF294"/>
  <c r="AF295"/>
  <c r="AF296"/>
  <c r="AF297"/>
  <c r="AM297" s="1"/>
  <c r="AF298"/>
  <c r="AF299"/>
  <c r="AF300"/>
  <c r="AM300" s="1"/>
  <c r="AF301"/>
  <c r="AF302"/>
  <c r="AF303"/>
  <c r="AF304"/>
  <c r="AM304" s="1"/>
  <c r="AF305"/>
  <c r="AM305" s="1"/>
  <c r="AF306"/>
  <c r="AF307"/>
  <c r="AF308"/>
  <c r="AM308" s="1"/>
  <c r="AF309"/>
  <c r="AF310"/>
  <c r="AF311"/>
  <c r="AF312"/>
  <c r="AM312" s="1"/>
  <c r="AF313"/>
  <c r="AM313" s="1"/>
  <c r="AF314"/>
  <c r="AF315"/>
  <c r="AF316"/>
  <c r="AM316" s="1"/>
  <c r="AF317"/>
  <c r="AF318"/>
  <c r="AF319"/>
  <c r="AF320"/>
  <c r="AF321"/>
  <c r="AM321" s="1"/>
  <c r="AF322"/>
  <c r="AF323"/>
  <c r="AF324"/>
  <c r="AM324" s="1"/>
  <c r="AF325"/>
  <c r="AF326"/>
  <c r="AF327"/>
  <c r="AF328"/>
  <c r="AM328" s="1"/>
  <c r="AF329"/>
  <c r="AM329" s="1"/>
  <c r="AF330"/>
  <c r="AF331"/>
  <c r="AF332"/>
  <c r="AM332" s="1"/>
  <c r="AF333"/>
  <c r="AM333" s="1"/>
  <c r="AF334"/>
  <c r="AF335"/>
  <c r="AF336"/>
  <c r="AM336" s="1"/>
  <c r="AF337"/>
  <c r="AF338"/>
  <c r="AF339"/>
  <c r="AF340"/>
  <c r="AF341"/>
  <c r="AF342"/>
  <c r="AF343"/>
  <c r="AF344"/>
  <c r="AF345"/>
  <c r="AF346"/>
  <c r="AF347"/>
  <c r="AF348"/>
  <c r="AM348" s="1"/>
  <c r="AF349"/>
  <c r="AF350"/>
  <c r="AF351"/>
  <c r="AF352"/>
  <c r="AM352" s="1"/>
  <c r="AF353"/>
  <c r="AM353" s="1"/>
  <c r="AF354"/>
  <c r="AF355"/>
  <c r="AF356"/>
  <c r="AM356" s="1"/>
  <c r="AF357"/>
  <c r="AF358"/>
  <c r="AF359"/>
  <c r="AF360"/>
  <c r="AM360" s="1"/>
  <c r="AF361"/>
  <c r="AF362"/>
  <c r="AF363"/>
  <c r="AF364"/>
  <c r="AM364" s="1"/>
  <c r="AF365"/>
  <c r="AM365" s="1"/>
  <c r="AF366"/>
  <c r="AF367"/>
  <c r="AF368"/>
  <c r="AF369"/>
  <c r="AF370"/>
  <c r="AF371"/>
  <c r="AF372"/>
  <c r="AM372" s="1"/>
  <c r="AF373"/>
  <c r="AM373" s="1"/>
  <c r="AF374"/>
  <c r="AF375"/>
  <c r="AF376"/>
  <c r="AM376" s="1"/>
  <c r="AF377"/>
  <c r="AM377" s="1"/>
  <c r="AF378"/>
  <c r="AF379"/>
  <c r="AF380"/>
  <c r="AF381"/>
  <c r="AM381" s="1"/>
  <c r="AF382"/>
  <c r="AF383"/>
  <c r="AF384"/>
  <c r="AM384" s="1"/>
  <c r="AF385"/>
  <c r="AF386"/>
  <c r="AF387"/>
  <c r="AF388"/>
  <c r="AM388" s="1"/>
  <c r="AF389"/>
  <c r="AM389" s="1"/>
  <c r="AF390"/>
  <c r="AF391"/>
  <c r="AF392"/>
  <c r="AF393"/>
  <c r="AF394"/>
  <c r="AF395"/>
  <c r="AF396"/>
  <c r="AM396" s="1"/>
  <c r="AF397"/>
  <c r="AF398"/>
  <c r="AF399"/>
  <c r="AF400"/>
  <c r="AM400" s="1"/>
  <c r="AF401"/>
  <c r="AM401" s="1"/>
  <c r="AF402"/>
  <c r="AF403"/>
  <c r="AF404"/>
  <c r="AM404" s="1"/>
  <c r="AF405"/>
  <c r="AF406"/>
  <c r="AF407"/>
  <c r="AF408"/>
  <c r="AM408" s="1"/>
  <c r="AF409"/>
  <c r="AF410"/>
  <c r="AF411"/>
  <c r="AF412"/>
  <c r="AM412" s="1"/>
  <c r="AF413"/>
  <c r="AM413" s="1"/>
  <c r="AF414"/>
  <c r="AF415"/>
  <c r="AF416"/>
  <c r="AM416" s="1"/>
  <c r="AF417"/>
  <c r="AF418"/>
  <c r="AF419"/>
  <c r="AF420"/>
  <c r="AM420" s="1"/>
  <c r="AF421"/>
  <c r="AM421" s="1"/>
  <c r="AF422"/>
  <c r="AF423"/>
  <c r="AF424"/>
  <c r="AM424" s="1"/>
  <c r="AF425"/>
  <c r="AM425" s="1"/>
  <c r="AF426"/>
  <c r="AF427"/>
  <c r="AF428"/>
  <c r="AF429"/>
  <c r="AF430"/>
  <c r="AF431"/>
  <c r="AF432"/>
  <c r="AM432" s="1"/>
  <c r="AF433"/>
  <c r="AM433" s="1"/>
  <c r="AF434"/>
  <c r="AF435"/>
  <c r="AF436"/>
  <c r="AM436" s="1"/>
  <c r="AF437"/>
  <c r="AM437" s="1"/>
  <c r="AF438"/>
  <c r="AF439"/>
  <c r="AF440"/>
  <c r="AF441"/>
  <c r="AF442"/>
  <c r="AF443"/>
  <c r="AF444"/>
  <c r="AM444" s="1"/>
  <c r="AF445"/>
  <c r="AF446"/>
  <c r="AF447"/>
  <c r="AF448"/>
  <c r="AM448" s="1"/>
  <c r="AF449"/>
  <c r="AM449" s="1"/>
  <c r="AF450"/>
  <c r="AF451"/>
  <c r="AF452"/>
  <c r="AF453"/>
  <c r="AM453" s="1"/>
  <c r="AF454"/>
  <c r="AM454" s="1"/>
  <c r="AF455"/>
  <c r="AF456"/>
  <c r="AM456" s="1"/>
  <c r="AF457"/>
  <c r="AM457" s="1"/>
  <c r="AF458"/>
  <c r="AF459"/>
  <c r="AF460"/>
  <c r="AM460" s="1"/>
  <c r="AF461"/>
  <c r="AM461" s="1"/>
  <c r="AF462"/>
  <c r="AM462" s="1"/>
  <c r="AF3"/>
  <c r="AE4"/>
  <c r="AE5"/>
  <c r="AL5" s="1"/>
  <c r="AE6"/>
  <c r="AL6" s="1"/>
  <c r="AE7"/>
  <c r="AE8"/>
  <c r="AE9"/>
  <c r="AL9" s="1"/>
  <c r="AE10"/>
  <c r="AL10" s="1"/>
  <c r="AE11"/>
  <c r="AE12"/>
  <c r="AE13"/>
  <c r="AL13" s="1"/>
  <c r="AE14"/>
  <c r="AL14" s="1"/>
  <c r="AE15"/>
  <c r="AE16"/>
  <c r="AE17"/>
  <c r="AL17" s="1"/>
  <c r="AE18"/>
  <c r="AL18" s="1"/>
  <c r="AE19"/>
  <c r="AE20"/>
  <c r="AE21"/>
  <c r="AL21" s="1"/>
  <c r="AE22"/>
  <c r="AL22" s="1"/>
  <c r="AE23"/>
  <c r="AE24"/>
  <c r="AE25"/>
  <c r="AL25" s="1"/>
  <c r="AE26"/>
  <c r="AL26" s="1"/>
  <c r="AE27"/>
  <c r="AE28"/>
  <c r="AE29"/>
  <c r="AL29" s="1"/>
  <c r="AE30"/>
  <c r="AL30" s="1"/>
  <c r="AE31"/>
  <c r="AE32"/>
  <c r="AE33"/>
  <c r="AL33" s="1"/>
  <c r="AE34"/>
  <c r="AL34" s="1"/>
  <c r="AE35"/>
  <c r="AE36"/>
  <c r="AE37"/>
  <c r="AL37" s="1"/>
  <c r="AE38"/>
  <c r="AL38" s="1"/>
  <c r="AE39"/>
  <c r="AE40"/>
  <c r="AE41"/>
  <c r="AL41" s="1"/>
  <c r="AE42"/>
  <c r="AL42" s="1"/>
  <c r="AE43"/>
  <c r="AE44"/>
  <c r="AE45"/>
  <c r="AL45" s="1"/>
  <c r="AE46"/>
  <c r="AL46" s="1"/>
  <c r="AE47"/>
  <c r="AE48"/>
  <c r="AE49"/>
  <c r="AL49" s="1"/>
  <c r="AE50"/>
  <c r="AL50" s="1"/>
  <c r="AE51"/>
  <c r="AE52"/>
  <c r="AE53"/>
  <c r="AL53" s="1"/>
  <c r="AE54"/>
  <c r="AL54" s="1"/>
  <c r="AE55"/>
  <c r="AE56"/>
  <c r="AE57"/>
  <c r="AL57" s="1"/>
  <c r="AE58"/>
  <c r="AL58" s="1"/>
  <c r="AE59"/>
  <c r="AE60"/>
  <c r="AE61"/>
  <c r="AL61" s="1"/>
  <c r="AE62"/>
  <c r="AL62" s="1"/>
  <c r="AE63"/>
  <c r="AE64"/>
  <c r="AE65"/>
  <c r="AL65" s="1"/>
  <c r="AE66"/>
  <c r="AL66" s="1"/>
  <c r="AE67"/>
  <c r="AE68"/>
  <c r="AE69"/>
  <c r="AL69" s="1"/>
  <c r="AE70"/>
  <c r="AL70" s="1"/>
  <c r="AE71"/>
  <c r="AE72"/>
  <c r="AE73"/>
  <c r="AL73" s="1"/>
  <c r="AE74"/>
  <c r="AL74" s="1"/>
  <c r="AE75"/>
  <c r="AE76"/>
  <c r="AE77"/>
  <c r="AL77" s="1"/>
  <c r="AE78"/>
  <c r="AL78" s="1"/>
  <c r="AE79"/>
  <c r="AE80"/>
  <c r="AE81"/>
  <c r="AL81" s="1"/>
  <c r="AE82"/>
  <c r="AL82" s="1"/>
  <c r="AE83"/>
  <c r="AE84"/>
  <c r="AE85"/>
  <c r="AL85" s="1"/>
  <c r="AE86"/>
  <c r="AL86" s="1"/>
  <c r="AE87"/>
  <c r="AE88"/>
  <c r="AE89"/>
  <c r="AL89" s="1"/>
  <c r="AE90"/>
  <c r="AL90" s="1"/>
  <c r="AE91"/>
  <c r="AE92"/>
  <c r="AE93"/>
  <c r="AL93" s="1"/>
  <c r="AE94"/>
  <c r="AL94" s="1"/>
  <c r="AE95"/>
  <c r="AE96"/>
  <c r="AE97"/>
  <c r="AL97" s="1"/>
  <c r="AE98"/>
  <c r="AL98" s="1"/>
  <c r="AE99"/>
  <c r="AE100"/>
  <c r="AE101"/>
  <c r="AL101" s="1"/>
  <c r="AE102"/>
  <c r="AL102" s="1"/>
  <c r="AE103"/>
  <c r="AE104"/>
  <c r="AE105"/>
  <c r="AL105" s="1"/>
  <c r="AE106"/>
  <c r="AL106" s="1"/>
  <c r="AE107"/>
  <c r="AE108"/>
  <c r="AE109"/>
  <c r="AL109" s="1"/>
  <c r="AE110"/>
  <c r="AL110" s="1"/>
  <c r="AE111"/>
  <c r="AE112"/>
  <c r="AE113"/>
  <c r="AL113" s="1"/>
  <c r="AE114"/>
  <c r="AL114" s="1"/>
  <c r="AE115"/>
  <c r="AE116"/>
  <c r="AE117"/>
  <c r="AL117" s="1"/>
  <c r="AE118"/>
  <c r="AL118" s="1"/>
  <c r="AE119"/>
  <c r="AE120"/>
  <c r="AE121"/>
  <c r="AL121" s="1"/>
  <c r="AE122"/>
  <c r="AL122" s="1"/>
  <c r="AE123"/>
  <c r="AE124"/>
  <c r="AE125"/>
  <c r="AL125" s="1"/>
  <c r="AE126"/>
  <c r="AL126" s="1"/>
  <c r="AE127"/>
  <c r="AE128"/>
  <c r="AE129"/>
  <c r="AL129" s="1"/>
  <c r="AE130"/>
  <c r="AL130" s="1"/>
  <c r="AE131"/>
  <c r="AE132"/>
  <c r="AE133"/>
  <c r="AL133" s="1"/>
  <c r="AE134"/>
  <c r="AL134" s="1"/>
  <c r="AE135"/>
  <c r="AE136"/>
  <c r="AE137"/>
  <c r="AL137" s="1"/>
  <c r="AE138"/>
  <c r="AL138" s="1"/>
  <c r="AE139"/>
  <c r="AE140"/>
  <c r="AE141"/>
  <c r="AL141" s="1"/>
  <c r="AE142"/>
  <c r="AL142" s="1"/>
  <c r="AE143"/>
  <c r="AE144"/>
  <c r="AE145"/>
  <c r="AL145" s="1"/>
  <c r="AE146"/>
  <c r="AL146" s="1"/>
  <c r="AE147"/>
  <c r="AE148"/>
  <c r="AE149"/>
  <c r="AL149" s="1"/>
  <c r="AE150"/>
  <c r="AL150" s="1"/>
  <c r="AE151"/>
  <c r="AE152"/>
  <c r="AE153"/>
  <c r="AL153" s="1"/>
  <c r="AE154"/>
  <c r="AL154" s="1"/>
  <c r="AE155"/>
  <c r="AE156"/>
  <c r="AE157"/>
  <c r="AL157" s="1"/>
  <c r="AE158"/>
  <c r="AL158" s="1"/>
  <c r="AE159"/>
  <c r="AE160"/>
  <c r="AE161"/>
  <c r="AL161" s="1"/>
  <c r="AE162"/>
  <c r="AL162" s="1"/>
  <c r="AE163"/>
  <c r="AE164"/>
  <c r="AE165"/>
  <c r="AL165" s="1"/>
  <c r="AE166"/>
  <c r="AL166" s="1"/>
  <c r="AE167"/>
  <c r="AE168"/>
  <c r="AE169"/>
  <c r="AL169" s="1"/>
  <c r="AE170"/>
  <c r="AL170" s="1"/>
  <c r="AE171"/>
  <c r="AE172"/>
  <c r="AE173"/>
  <c r="AL173" s="1"/>
  <c r="AE174"/>
  <c r="AL174" s="1"/>
  <c r="AE175"/>
  <c r="AE176"/>
  <c r="AE177"/>
  <c r="AL177" s="1"/>
  <c r="AE178"/>
  <c r="AL178" s="1"/>
  <c r="AE179"/>
  <c r="AE180"/>
  <c r="AE181"/>
  <c r="AL181" s="1"/>
  <c r="AE182"/>
  <c r="AL182" s="1"/>
  <c r="AE183"/>
  <c r="AE184"/>
  <c r="AE185"/>
  <c r="AL185" s="1"/>
  <c r="AE186"/>
  <c r="AL186" s="1"/>
  <c r="AE187"/>
  <c r="AE188"/>
  <c r="AE189"/>
  <c r="AL189" s="1"/>
  <c r="AE190"/>
  <c r="AL190" s="1"/>
  <c r="AE191"/>
  <c r="AE192"/>
  <c r="AE193"/>
  <c r="AL193" s="1"/>
  <c r="AE194"/>
  <c r="AL194" s="1"/>
  <c r="AE195"/>
  <c r="AE196"/>
  <c r="AE197"/>
  <c r="AL197" s="1"/>
  <c r="AE198"/>
  <c r="AL198" s="1"/>
  <c r="AE199"/>
  <c r="AE200"/>
  <c r="AE201"/>
  <c r="AL201" s="1"/>
  <c r="AE202"/>
  <c r="AL202" s="1"/>
  <c r="AE203"/>
  <c r="AE204"/>
  <c r="AE205"/>
  <c r="AL205" s="1"/>
  <c r="AE206"/>
  <c r="AL206" s="1"/>
  <c r="AE207"/>
  <c r="AE208"/>
  <c r="AE209"/>
  <c r="AL209" s="1"/>
  <c r="AE210"/>
  <c r="AL210" s="1"/>
  <c r="AE211"/>
  <c r="AE212"/>
  <c r="AE213"/>
  <c r="AL213" s="1"/>
  <c r="AE214"/>
  <c r="AL214" s="1"/>
  <c r="AE215"/>
  <c r="AE216"/>
  <c r="AE217"/>
  <c r="AL217" s="1"/>
  <c r="AE218"/>
  <c r="AL218" s="1"/>
  <c r="AE219"/>
  <c r="AE220"/>
  <c r="AE221"/>
  <c r="AL221" s="1"/>
  <c r="AE222"/>
  <c r="AL222" s="1"/>
  <c r="AE223"/>
  <c r="AE224"/>
  <c r="AE225"/>
  <c r="AL225" s="1"/>
  <c r="AE226"/>
  <c r="AL226" s="1"/>
  <c r="AE227"/>
  <c r="AE228"/>
  <c r="AE229"/>
  <c r="AL229" s="1"/>
  <c r="AE230"/>
  <c r="AL230" s="1"/>
  <c r="AE231"/>
  <c r="AE232"/>
  <c r="AE233"/>
  <c r="AL233" s="1"/>
  <c r="AE234"/>
  <c r="AL234" s="1"/>
  <c r="AE235"/>
  <c r="AE236"/>
  <c r="AE237"/>
  <c r="AL237" s="1"/>
  <c r="AE238"/>
  <c r="AL238" s="1"/>
  <c r="AE239"/>
  <c r="AE240"/>
  <c r="AE241"/>
  <c r="AL241" s="1"/>
  <c r="AE242"/>
  <c r="AL242" s="1"/>
  <c r="AE243"/>
  <c r="AE244"/>
  <c r="AE245"/>
  <c r="AL245" s="1"/>
  <c r="AE246"/>
  <c r="AL246" s="1"/>
  <c r="AE247"/>
  <c r="AE248"/>
  <c r="AE249"/>
  <c r="AL249" s="1"/>
  <c r="AE250"/>
  <c r="AL250" s="1"/>
  <c r="AE251"/>
  <c r="AE252"/>
  <c r="AE253"/>
  <c r="AL253" s="1"/>
  <c r="AE254"/>
  <c r="AL254" s="1"/>
  <c r="AE255"/>
  <c r="AE256"/>
  <c r="AE257"/>
  <c r="AL257" s="1"/>
  <c r="AE258"/>
  <c r="AL258" s="1"/>
  <c r="AE259"/>
  <c r="AE260"/>
  <c r="AE261"/>
  <c r="AL261" s="1"/>
  <c r="AE262"/>
  <c r="AL262" s="1"/>
  <c r="AE263"/>
  <c r="AE264"/>
  <c r="AE265"/>
  <c r="AL265" s="1"/>
  <c r="AE266"/>
  <c r="AL266" s="1"/>
  <c r="AE267"/>
  <c r="AE268"/>
  <c r="AE269"/>
  <c r="AL269" s="1"/>
  <c r="AE270"/>
  <c r="AL270" s="1"/>
  <c r="AE271"/>
  <c r="AE272"/>
  <c r="AE273"/>
  <c r="AL273" s="1"/>
  <c r="AE274"/>
  <c r="AL274" s="1"/>
  <c r="AE275"/>
  <c r="AE276"/>
  <c r="AE277"/>
  <c r="AL277" s="1"/>
  <c r="AE278"/>
  <c r="AL278" s="1"/>
  <c r="AE279"/>
  <c r="AE280"/>
  <c r="AE281"/>
  <c r="AL281" s="1"/>
  <c r="AE282"/>
  <c r="AL282" s="1"/>
  <c r="AE283"/>
  <c r="AE284"/>
  <c r="AE285"/>
  <c r="AL285" s="1"/>
  <c r="AE286"/>
  <c r="AL286" s="1"/>
  <c r="AE287"/>
  <c r="AE288"/>
  <c r="AE289"/>
  <c r="AL289" s="1"/>
  <c r="AE290"/>
  <c r="AL290" s="1"/>
  <c r="AE291"/>
  <c r="AE292"/>
  <c r="AE293"/>
  <c r="AL293" s="1"/>
  <c r="AE294"/>
  <c r="AL294" s="1"/>
  <c r="AE295"/>
  <c r="AE296"/>
  <c r="AE297"/>
  <c r="AL297" s="1"/>
  <c r="AE298"/>
  <c r="AL298" s="1"/>
  <c r="AE299"/>
  <c r="AE300"/>
  <c r="AE301"/>
  <c r="AL301" s="1"/>
  <c r="AE302"/>
  <c r="AL302" s="1"/>
  <c r="AE303"/>
  <c r="AE304"/>
  <c r="AE305"/>
  <c r="AL305" s="1"/>
  <c r="AE306"/>
  <c r="AL306" s="1"/>
  <c r="AE307"/>
  <c r="AE308"/>
  <c r="AE309"/>
  <c r="AL309" s="1"/>
  <c r="AE310"/>
  <c r="AL310" s="1"/>
  <c r="AE311"/>
  <c r="AE312"/>
  <c r="AE313"/>
  <c r="AL313" s="1"/>
  <c r="AE314"/>
  <c r="AL314" s="1"/>
  <c r="AE315"/>
  <c r="AE316"/>
  <c r="AE317"/>
  <c r="AL317" s="1"/>
  <c r="AE318"/>
  <c r="AL318" s="1"/>
  <c r="AE319"/>
  <c r="AE320"/>
  <c r="AE321"/>
  <c r="AL321" s="1"/>
  <c r="AE322"/>
  <c r="AL322" s="1"/>
  <c r="AE323"/>
  <c r="AE324"/>
  <c r="AE325"/>
  <c r="AL325" s="1"/>
  <c r="AE326"/>
  <c r="AL326" s="1"/>
  <c r="AE327"/>
  <c r="AE328"/>
  <c r="AE329"/>
  <c r="AL329" s="1"/>
  <c r="AE330"/>
  <c r="AL330" s="1"/>
  <c r="AE331"/>
  <c r="AE332"/>
  <c r="AE333"/>
  <c r="AL333" s="1"/>
  <c r="AE334"/>
  <c r="AL334" s="1"/>
  <c r="AE335"/>
  <c r="AE336"/>
  <c r="AE337"/>
  <c r="AL337" s="1"/>
  <c r="AE338"/>
  <c r="AL338" s="1"/>
  <c r="AE339"/>
  <c r="AE340"/>
  <c r="AE341"/>
  <c r="AL341" s="1"/>
  <c r="AE342"/>
  <c r="AL342" s="1"/>
  <c r="AE343"/>
  <c r="AE344"/>
  <c r="AE345"/>
  <c r="AL345" s="1"/>
  <c r="AE346"/>
  <c r="AL346" s="1"/>
  <c r="AE347"/>
  <c r="AE348"/>
  <c r="AE349"/>
  <c r="AL349" s="1"/>
  <c r="AE350"/>
  <c r="AL350" s="1"/>
  <c r="AE351"/>
  <c r="AE352"/>
  <c r="AE353"/>
  <c r="AL353" s="1"/>
  <c r="AE354"/>
  <c r="AL354" s="1"/>
  <c r="AE355"/>
  <c r="AE356"/>
  <c r="AE357"/>
  <c r="AL357" s="1"/>
  <c r="AE358"/>
  <c r="AL358" s="1"/>
  <c r="AE359"/>
  <c r="AE360"/>
  <c r="AE361"/>
  <c r="AL361" s="1"/>
  <c r="AE362"/>
  <c r="AL362" s="1"/>
  <c r="AE363"/>
  <c r="AE364"/>
  <c r="AE365"/>
  <c r="AL365" s="1"/>
  <c r="AE366"/>
  <c r="AL366" s="1"/>
  <c r="AE367"/>
  <c r="AE368"/>
  <c r="AE369"/>
  <c r="AL369" s="1"/>
  <c r="AE370"/>
  <c r="AL370" s="1"/>
  <c r="AE371"/>
  <c r="AE372"/>
  <c r="AE373"/>
  <c r="AL373" s="1"/>
  <c r="AE374"/>
  <c r="AL374" s="1"/>
  <c r="AE375"/>
  <c r="AE376"/>
  <c r="AE377"/>
  <c r="AL377" s="1"/>
  <c r="AE378"/>
  <c r="AL378" s="1"/>
  <c r="AE379"/>
  <c r="AE380"/>
  <c r="AE381"/>
  <c r="AL381" s="1"/>
  <c r="AE382"/>
  <c r="AL382" s="1"/>
  <c r="AE383"/>
  <c r="AE384"/>
  <c r="AE385"/>
  <c r="AL385" s="1"/>
  <c r="AE386"/>
  <c r="AL386" s="1"/>
  <c r="AE387"/>
  <c r="AE388"/>
  <c r="AE389"/>
  <c r="AL389" s="1"/>
  <c r="AE390"/>
  <c r="AL390" s="1"/>
  <c r="AE391"/>
  <c r="AE392"/>
  <c r="AE393"/>
  <c r="AL393" s="1"/>
  <c r="AE394"/>
  <c r="AL394" s="1"/>
  <c r="AE395"/>
  <c r="AE396"/>
  <c r="AE397"/>
  <c r="AL397" s="1"/>
  <c r="AE398"/>
  <c r="AL398" s="1"/>
  <c r="AE399"/>
  <c r="AE400"/>
  <c r="AE401"/>
  <c r="AL401" s="1"/>
  <c r="AE402"/>
  <c r="AL402" s="1"/>
  <c r="AE403"/>
  <c r="AE404"/>
  <c r="AE405"/>
  <c r="AL405" s="1"/>
  <c r="AE406"/>
  <c r="AL406" s="1"/>
  <c r="AE407"/>
  <c r="AE408"/>
  <c r="AE409"/>
  <c r="AL409" s="1"/>
  <c r="AE410"/>
  <c r="AL410" s="1"/>
  <c r="AE411"/>
  <c r="AE412"/>
  <c r="AE413"/>
  <c r="AL413" s="1"/>
  <c r="AE414"/>
  <c r="AL414" s="1"/>
  <c r="AE415"/>
  <c r="AE416"/>
  <c r="AE417"/>
  <c r="AL417" s="1"/>
  <c r="AE418"/>
  <c r="AL418" s="1"/>
  <c r="AE419"/>
  <c r="AE420"/>
  <c r="AE421"/>
  <c r="AL421" s="1"/>
  <c r="AE422"/>
  <c r="AL422" s="1"/>
  <c r="AE423"/>
  <c r="AE424"/>
  <c r="AE425"/>
  <c r="AL425" s="1"/>
  <c r="AE426"/>
  <c r="AL426" s="1"/>
  <c r="AE427"/>
  <c r="AE428"/>
  <c r="AE429"/>
  <c r="AL429" s="1"/>
  <c r="AE430"/>
  <c r="AL430" s="1"/>
  <c r="AE431"/>
  <c r="AE432"/>
  <c r="AE433"/>
  <c r="AL433" s="1"/>
  <c r="AE434"/>
  <c r="AL434" s="1"/>
  <c r="AE435"/>
  <c r="AE436"/>
  <c r="AE437"/>
  <c r="AL437" s="1"/>
  <c r="AE438"/>
  <c r="AL438" s="1"/>
  <c r="AE439"/>
  <c r="AE440"/>
  <c r="AE441"/>
  <c r="AL441" s="1"/>
  <c r="AE442"/>
  <c r="AL442" s="1"/>
  <c r="AE443"/>
  <c r="AE444"/>
  <c r="AE445"/>
  <c r="AL445" s="1"/>
  <c r="AE446"/>
  <c r="AL446" s="1"/>
  <c r="AE447"/>
  <c r="AE448"/>
  <c r="AE449"/>
  <c r="AL449" s="1"/>
  <c r="AE450"/>
  <c r="AL450" s="1"/>
  <c r="AE451"/>
  <c r="AE452"/>
  <c r="AE453"/>
  <c r="AE454"/>
  <c r="AE455"/>
  <c r="AE456"/>
  <c r="AE457"/>
  <c r="AL457" s="1"/>
  <c r="AE458"/>
  <c r="AL458" s="1"/>
  <c r="AE459"/>
  <c r="AL459" s="1"/>
  <c r="AE460"/>
  <c r="AE461"/>
  <c r="AE462"/>
  <c r="AE3"/>
  <c r="AD4"/>
  <c r="AK4" s="1"/>
  <c r="AD5"/>
  <c r="AD6"/>
  <c r="AD7"/>
  <c r="AD8"/>
  <c r="AK8" s="1"/>
  <c r="AD9"/>
  <c r="AK9" s="1"/>
  <c r="AD10"/>
  <c r="AD11"/>
  <c r="AD12"/>
  <c r="AD13"/>
  <c r="AK13" s="1"/>
  <c r="AD14"/>
  <c r="AD15"/>
  <c r="AD16"/>
  <c r="AK16" s="1"/>
  <c r="AD17"/>
  <c r="AD18"/>
  <c r="AD19"/>
  <c r="AD20"/>
  <c r="AK20" s="1"/>
  <c r="AD21"/>
  <c r="AD22"/>
  <c r="AD23"/>
  <c r="AD24"/>
  <c r="AK24" s="1"/>
  <c r="AD25"/>
  <c r="AK25" s="1"/>
  <c r="AD26"/>
  <c r="AD27"/>
  <c r="AD28"/>
  <c r="AD29"/>
  <c r="AK29" s="1"/>
  <c r="AD30"/>
  <c r="AD31"/>
  <c r="AD32"/>
  <c r="AK32" s="1"/>
  <c r="AD33"/>
  <c r="AD34"/>
  <c r="AD35"/>
  <c r="AD36"/>
  <c r="AK36" s="1"/>
  <c r="AD37"/>
  <c r="AD38"/>
  <c r="AD39"/>
  <c r="AD40"/>
  <c r="AK40" s="1"/>
  <c r="AD41"/>
  <c r="AK41" s="1"/>
  <c r="AD42"/>
  <c r="AD43"/>
  <c r="AD44"/>
  <c r="AD45"/>
  <c r="AK45" s="1"/>
  <c r="AD46"/>
  <c r="AD47"/>
  <c r="AD48"/>
  <c r="AK48" s="1"/>
  <c r="AD49"/>
  <c r="AD50"/>
  <c r="AD51"/>
  <c r="AD52"/>
  <c r="AK52" s="1"/>
  <c r="AD53"/>
  <c r="AD54"/>
  <c r="AD55"/>
  <c r="AD56"/>
  <c r="AK56" s="1"/>
  <c r="AD57"/>
  <c r="AK57" s="1"/>
  <c r="AD58"/>
  <c r="AD59"/>
  <c r="AD60"/>
  <c r="AD61"/>
  <c r="AK61" s="1"/>
  <c r="AD62"/>
  <c r="AD63"/>
  <c r="AD64"/>
  <c r="AK64" s="1"/>
  <c r="AD65"/>
  <c r="AD66"/>
  <c r="AD67"/>
  <c r="AD68"/>
  <c r="AK68" s="1"/>
  <c r="AD69"/>
  <c r="AD70"/>
  <c r="AD71"/>
  <c r="AD72"/>
  <c r="AK72" s="1"/>
  <c r="AD73"/>
  <c r="AK73" s="1"/>
  <c r="AD74"/>
  <c r="AD75"/>
  <c r="AD76"/>
  <c r="AD77"/>
  <c r="AK77" s="1"/>
  <c r="AD78"/>
  <c r="AD79"/>
  <c r="AD80"/>
  <c r="AK80" s="1"/>
  <c r="AD81"/>
  <c r="AD82"/>
  <c r="AD83"/>
  <c r="AD84"/>
  <c r="AK84" s="1"/>
  <c r="AD85"/>
  <c r="AD86"/>
  <c r="AD87"/>
  <c r="AD88"/>
  <c r="AK88" s="1"/>
  <c r="AD89"/>
  <c r="AK89" s="1"/>
  <c r="AD90"/>
  <c r="AD91"/>
  <c r="AD92"/>
  <c r="AD93"/>
  <c r="AK93" s="1"/>
  <c r="AD94"/>
  <c r="AD95"/>
  <c r="AD96"/>
  <c r="AK96" s="1"/>
  <c r="AD97"/>
  <c r="AD98"/>
  <c r="AD99"/>
  <c r="AD100"/>
  <c r="AK100" s="1"/>
  <c r="AD101"/>
  <c r="AD102"/>
  <c r="AD103"/>
  <c r="AD104"/>
  <c r="AK104" s="1"/>
  <c r="AD105"/>
  <c r="AK105" s="1"/>
  <c r="AD106"/>
  <c r="AD107"/>
  <c r="AD108"/>
  <c r="AD109"/>
  <c r="AK109" s="1"/>
  <c r="AD110"/>
  <c r="AD111"/>
  <c r="AD112"/>
  <c r="AK112" s="1"/>
  <c r="AD113"/>
  <c r="AD114"/>
  <c r="AD115"/>
  <c r="AD116"/>
  <c r="AK116" s="1"/>
  <c r="AD117"/>
  <c r="AD118"/>
  <c r="AD119"/>
  <c r="AD120"/>
  <c r="AK120" s="1"/>
  <c r="AD121"/>
  <c r="AK121" s="1"/>
  <c r="AD122"/>
  <c r="AD123"/>
  <c r="AD124"/>
  <c r="AD125"/>
  <c r="AK125" s="1"/>
  <c r="AD126"/>
  <c r="AD127"/>
  <c r="AD128"/>
  <c r="AK128" s="1"/>
  <c r="AD129"/>
  <c r="AD130"/>
  <c r="AD131"/>
  <c r="AD132"/>
  <c r="AK132" s="1"/>
  <c r="AD133"/>
  <c r="AD134"/>
  <c r="AD135"/>
  <c r="AD136"/>
  <c r="AK136" s="1"/>
  <c r="AD137"/>
  <c r="AK137" s="1"/>
  <c r="AD138"/>
  <c r="AD139"/>
  <c r="AD140"/>
  <c r="AD141"/>
  <c r="AK141" s="1"/>
  <c r="AD142"/>
  <c r="AD143"/>
  <c r="AD144"/>
  <c r="AK144" s="1"/>
  <c r="AD145"/>
  <c r="AD146"/>
  <c r="AD147"/>
  <c r="AD148"/>
  <c r="AK148" s="1"/>
  <c r="AD149"/>
  <c r="AD150"/>
  <c r="AD151"/>
  <c r="AD152"/>
  <c r="AK152" s="1"/>
  <c r="AD153"/>
  <c r="AK153" s="1"/>
  <c r="AD154"/>
  <c r="AD155"/>
  <c r="AD156"/>
  <c r="AD157"/>
  <c r="AK157" s="1"/>
  <c r="AD158"/>
  <c r="AD159"/>
  <c r="AD160"/>
  <c r="AK160" s="1"/>
  <c r="AD161"/>
  <c r="AD162"/>
  <c r="AD163"/>
  <c r="AD164"/>
  <c r="AK164" s="1"/>
  <c r="AD165"/>
  <c r="AD166"/>
  <c r="AD167"/>
  <c r="AD168"/>
  <c r="AK168" s="1"/>
  <c r="AD169"/>
  <c r="AK169" s="1"/>
  <c r="AD170"/>
  <c r="AD171"/>
  <c r="AD172"/>
  <c r="AD173"/>
  <c r="AK173" s="1"/>
  <c r="AD174"/>
  <c r="AD175"/>
  <c r="AD176"/>
  <c r="AK176" s="1"/>
  <c r="AD177"/>
  <c r="AD178"/>
  <c r="AD179"/>
  <c r="AD180"/>
  <c r="AK180" s="1"/>
  <c r="AD181"/>
  <c r="AD182"/>
  <c r="AD183"/>
  <c r="AD184"/>
  <c r="AK184" s="1"/>
  <c r="AD185"/>
  <c r="AK185" s="1"/>
  <c r="AD186"/>
  <c r="AD187"/>
  <c r="AD188"/>
  <c r="AD189"/>
  <c r="AK189" s="1"/>
  <c r="AD190"/>
  <c r="AD191"/>
  <c r="AD192"/>
  <c r="AK192" s="1"/>
  <c r="AD193"/>
  <c r="AD194"/>
  <c r="AD195"/>
  <c r="AD196"/>
  <c r="AK196" s="1"/>
  <c r="AD197"/>
  <c r="AD198"/>
  <c r="AD199"/>
  <c r="AD200"/>
  <c r="AK200" s="1"/>
  <c r="AD201"/>
  <c r="AK201" s="1"/>
  <c r="AD202"/>
  <c r="AD203"/>
  <c r="AD204"/>
  <c r="AD205"/>
  <c r="AK205" s="1"/>
  <c r="AD206"/>
  <c r="AD207"/>
  <c r="AD208"/>
  <c r="AK208" s="1"/>
  <c r="AD209"/>
  <c r="AD210"/>
  <c r="AD211"/>
  <c r="AD212"/>
  <c r="AK212" s="1"/>
  <c r="AD213"/>
  <c r="AD214"/>
  <c r="AD215"/>
  <c r="AD216"/>
  <c r="AK216" s="1"/>
  <c r="AD217"/>
  <c r="AK217" s="1"/>
  <c r="AD218"/>
  <c r="AD219"/>
  <c r="AD220"/>
  <c r="AD221"/>
  <c r="AK221" s="1"/>
  <c r="AD222"/>
  <c r="AD223"/>
  <c r="AD224"/>
  <c r="AK224" s="1"/>
  <c r="AD225"/>
  <c r="AD226"/>
  <c r="AD227"/>
  <c r="AD228"/>
  <c r="AK228" s="1"/>
  <c r="AD229"/>
  <c r="AD230"/>
  <c r="AD231"/>
  <c r="AD232"/>
  <c r="AK232" s="1"/>
  <c r="AD233"/>
  <c r="AK233" s="1"/>
  <c r="AD234"/>
  <c r="AD235"/>
  <c r="AD236"/>
  <c r="AD237"/>
  <c r="AK237" s="1"/>
  <c r="AD238"/>
  <c r="AD239"/>
  <c r="AD240"/>
  <c r="AK240" s="1"/>
  <c r="AD241"/>
  <c r="AD242"/>
  <c r="AD243"/>
  <c r="AD244"/>
  <c r="AK244" s="1"/>
  <c r="AD245"/>
  <c r="AD246"/>
  <c r="AD247"/>
  <c r="AD248"/>
  <c r="AK248" s="1"/>
  <c r="AD249"/>
  <c r="AK249" s="1"/>
  <c r="AD250"/>
  <c r="AD251"/>
  <c r="AD252"/>
  <c r="AD253"/>
  <c r="AK253" s="1"/>
  <c r="AD254"/>
  <c r="AD255"/>
  <c r="AD256"/>
  <c r="AK256" s="1"/>
  <c r="AD257"/>
  <c r="AD258"/>
  <c r="AD259"/>
  <c r="AD260"/>
  <c r="AK260" s="1"/>
  <c r="AD261"/>
  <c r="AD262"/>
  <c r="AD263"/>
  <c r="AD264"/>
  <c r="AK264" s="1"/>
  <c r="AD265"/>
  <c r="AK265" s="1"/>
  <c r="AD266"/>
  <c r="AD267"/>
  <c r="AD268"/>
  <c r="AD269"/>
  <c r="AK269" s="1"/>
  <c r="AD270"/>
  <c r="AD271"/>
  <c r="AD272"/>
  <c r="AK272" s="1"/>
  <c r="AD273"/>
  <c r="AD274"/>
  <c r="AD275"/>
  <c r="AD276"/>
  <c r="AK276" s="1"/>
  <c r="AD277"/>
  <c r="AD278"/>
  <c r="AD279"/>
  <c r="AD280"/>
  <c r="AK280" s="1"/>
  <c r="AD281"/>
  <c r="AK281" s="1"/>
  <c r="AD282"/>
  <c r="AD283"/>
  <c r="AD284"/>
  <c r="AD285"/>
  <c r="AK285" s="1"/>
  <c r="AD286"/>
  <c r="AD287"/>
  <c r="AD288"/>
  <c r="AK288" s="1"/>
  <c r="AD289"/>
  <c r="AD290"/>
  <c r="AD291"/>
  <c r="AD292"/>
  <c r="AK292" s="1"/>
  <c r="AD293"/>
  <c r="AD294"/>
  <c r="AD295"/>
  <c r="AD296"/>
  <c r="AK296" s="1"/>
  <c r="AD297"/>
  <c r="AK297" s="1"/>
  <c r="AD298"/>
  <c r="AD299"/>
  <c r="AD300"/>
  <c r="AD301"/>
  <c r="AK301" s="1"/>
  <c r="AD302"/>
  <c r="AD303"/>
  <c r="AD304"/>
  <c r="AK304" s="1"/>
  <c r="AD305"/>
  <c r="AD306"/>
  <c r="AD307"/>
  <c r="AD308"/>
  <c r="AK308" s="1"/>
  <c r="AD309"/>
  <c r="AD310"/>
  <c r="AD311"/>
  <c r="AD312"/>
  <c r="AK312" s="1"/>
  <c r="AD313"/>
  <c r="AK313" s="1"/>
  <c r="AD314"/>
  <c r="AD315"/>
  <c r="AD316"/>
  <c r="AD317"/>
  <c r="AK317" s="1"/>
  <c r="AD318"/>
  <c r="AD319"/>
  <c r="AD320"/>
  <c r="AK320" s="1"/>
  <c r="AD321"/>
  <c r="AD322"/>
  <c r="AD323"/>
  <c r="AD324"/>
  <c r="AK324" s="1"/>
  <c r="AD325"/>
  <c r="AD326"/>
  <c r="AD327"/>
  <c r="AD328"/>
  <c r="AK328" s="1"/>
  <c r="AD329"/>
  <c r="AK329" s="1"/>
  <c r="AD330"/>
  <c r="AD331"/>
  <c r="AD332"/>
  <c r="AD333"/>
  <c r="AK333" s="1"/>
  <c r="AD334"/>
  <c r="AD335"/>
  <c r="AD336"/>
  <c r="AK336" s="1"/>
  <c r="AD337"/>
  <c r="AD338"/>
  <c r="AD339"/>
  <c r="AD340"/>
  <c r="AK340" s="1"/>
  <c r="AD341"/>
  <c r="AD342"/>
  <c r="AD343"/>
  <c r="AD344"/>
  <c r="AK344" s="1"/>
  <c r="AD345"/>
  <c r="AK345" s="1"/>
  <c r="AD346"/>
  <c r="AD347"/>
  <c r="AD348"/>
  <c r="AD349"/>
  <c r="AK349" s="1"/>
  <c r="AD350"/>
  <c r="AD351"/>
  <c r="AD352"/>
  <c r="AK352" s="1"/>
  <c r="AD353"/>
  <c r="AD354"/>
  <c r="AD355"/>
  <c r="AD356"/>
  <c r="AK356" s="1"/>
  <c r="AD357"/>
  <c r="AD358"/>
  <c r="AD359"/>
  <c r="AD360"/>
  <c r="AK360" s="1"/>
  <c r="AD361"/>
  <c r="AK361" s="1"/>
  <c r="AD362"/>
  <c r="AD363"/>
  <c r="AD364"/>
  <c r="AD365"/>
  <c r="AK365" s="1"/>
  <c r="AD366"/>
  <c r="AD367"/>
  <c r="AD368"/>
  <c r="AK368" s="1"/>
  <c r="AD369"/>
  <c r="AD370"/>
  <c r="AD371"/>
  <c r="AD372"/>
  <c r="AK372" s="1"/>
  <c r="AD373"/>
  <c r="AD374"/>
  <c r="AD375"/>
  <c r="AD376"/>
  <c r="AK376" s="1"/>
  <c r="AD377"/>
  <c r="AK377" s="1"/>
  <c r="AD378"/>
  <c r="AD379"/>
  <c r="AD380"/>
  <c r="AD381"/>
  <c r="AK381" s="1"/>
  <c r="AD382"/>
  <c r="AD383"/>
  <c r="AD384"/>
  <c r="AK384" s="1"/>
  <c r="AD385"/>
  <c r="AD386"/>
  <c r="AD387"/>
  <c r="AD388"/>
  <c r="AK388" s="1"/>
  <c r="AD389"/>
  <c r="AD390"/>
  <c r="AD391"/>
  <c r="AD392"/>
  <c r="AK392" s="1"/>
  <c r="AD393"/>
  <c r="AK393" s="1"/>
  <c r="AD394"/>
  <c r="AD395"/>
  <c r="AD396"/>
  <c r="AD397"/>
  <c r="AK397" s="1"/>
  <c r="AD398"/>
  <c r="AD399"/>
  <c r="AD400"/>
  <c r="AK400" s="1"/>
  <c r="AD401"/>
  <c r="AD402"/>
  <c r="AD403"/>
  <c r="AD404"/>
  <c r="AK404" s="1"/>
  <c r="AD405"/>
  <c r="AD406"/>
  <c r="AD407"/>
  <c r="AD408"/>
  <c r="AK408" s="1"/>
  <c r="AD409"/>
  <c r="AK409" s="1"/>
  <c r="AD410"/>
  <c r="AD411"/>
  <c r="AD412"/>
  <c r="AD413"/>
  <c r="AK413" s="1"/>
  <c r="AD414"/>
  <c r="AD415"/>
  <c r="AD416"/>
  <c r="AK416" s="1"/>
  <c r="AD417"/>
  <c r="AD418"/>
  <c r="AD419"/>
  <c r="AD420"/>
  <c r="AK420" s="1"/>
  <c r="AD421"/>
  <c r="AD422"/>
  <c r="AD423"/>
  <c r="AD424"/>
  <c r="AK424" s="1"/>
  <c r="AD425"/>
  <c r="AK425" s="1"/>
  <c r="AD426"/>
  <c r="AD427"/>
  <c r="AD428"/>
  <c r="AD429"/>
  <c r="AK429" s="1"/>
  <c r="AD430"/>
  <c r="AD431"/>
  <c r="AD432"/>
  <c r="AK432" s="1"/>
  <c r="AD433"/>
  <c r="AD434"/>
  <c r="AD435"/>
  <c r="AD436"/>
  <c r="AK436" s="1"/>
  <c r="AD437"/>
  <c r="AD438"/>
  <c r="AD439"/>
  <c r="AD440"/>
  <c r="AK440" s="1"/>
  <c r="AD441"/>
  <c r="AK441" s="1"/>
  <c r="AD442"/>
  <c r="AD443"/>
  <c r="AD444"/>
  <c r="AD445"/>
  <c r="AK445" s="1"/>
  <c r="AD446"/>
  <c r="AD447"/>
  <c r="AD448"/>
  <c r="AK448" s="1"/>
  <c r="AD449"/>
  <c r="AD450"/>
  <c r="AD451"/>
  <c r="AD452"/>
  <c r="AK452" s="1"/>
  <c r="AD453"/>
  <c r="AD454"/>
  <c r="AD455"/>
  <c r="AD456"/>
  <c r="AK456" s="1"/>
  <c r="AD457"/>
  <c r="AK457" s="1"/>
  <c r="AD458"/>
  <c r="AD459"/>
  <c r="AD460"/>
  <c r="AD461"/>
  <c r="AD462"/>
  <c r="AD3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C148"/>
  <c r="AC149"/>
  <c r="AC150"/>
  <c r="AC151"/>
  <c r="AC152"/>
  <c r="AC153"/>
  <c r="AC154"/>
  <c r="AC155"/>
  <c r="AC156"/>
  <c r="AC157"/>
  <c r="AC158"/>
  <c r="AC159"/>
  <c r="AC160"/>
  <c r="AC161"/>
  <c r="AC162"/>
  <c r="AC163"/>
  <c r="AC164"/>
  <c r="AC165"/>
  <c r="AC166"/>
  <c r="AC167"/>
  <c r="AC168"/>
  <c r="AC169"/>
  <c r="AC170"/>
  <c r="AC171"/>
  <c r="AC172"/>
  <c r="AC173"/>
  <c r="AC174"/>
  <c r="AC175"/>
  <c r="AC176"/>
  <c r="AC177"/>
  <c r="AC178"/>
  <c r="AC179"/>
  <c r="AC180"/>
  <c r="AC181"/>
  <c r="AC182"/>
  <c r="AC183"/>
  <c r="AC184"/>
  <c r="AC185"/>
  <c r="AC186"/>
  <c r="AC187"/>
  <c r="AC188"/>
  <c r="AC189"/>
  <c r="AC190"/>
  <c r="AC191"/>
  <c r="AC192"/>
  <c r="AC193"/>
  <c r="AC194"/>
  <c r="AC195"/>
  <c r="AC196"/>
  <c r="AC197"/>
  <c r="AC198"/>
  <c r="AC199"/>
  <c r="AC200"/>
  <c r="AC201"/>
  <c r="AC202"/>
  <c r="AC203"/>
  <c r="AC204"/>
  <c r="AC205"/>
  <c r="AC206"/>
  <c r="AC207"/>
  <c r="AC208"/>
  <c r="AC209"/>
  <c r="AC210"/>
  <c r="AC211"/>
  <c r="AC212"/>
  <c r="AC213"/>
  <c r="AC214"/>
  <c r="AC215"/>
  <c r="AC216"/>
  <c r="AC217"/>
  <c r="AC218"/>
  <c r="AC219"/>
  <c r="AC220"/>
  <c r="AC221"/>
  <c r="AC222"/>
  <c r="AC223"/>
  <c r="AC224"/>
  <c r="AC225"/>
  <c r="AC226"/>
  <c r="AC227"/>
  <c r="AC228"/>
  <c r="AC229"/>
  <c r="AC230"/>
  <c r="AC231"/>
  <c r="AC232"/>
  <c r="AC233"/>
  <c r="AC234"/>
  <c r="AC235"/>
  <c r="AC236"/>
  <c r="AC237"/>
  <c r="AC238"/>
  <c r="AC239"/>
  <c r="AC240"/>
  <c r="AC241"/>
  <c r="AC242"/>
  <c r="AC243"/>
  <c r="AC244"/>
  <c r="AC245"/>
  <c r="AC246"/>
  <c r="AC247"/>
  <c r="AC248"/>
  <c r="AC249"/>
  <c r="AC250"/>
  <c r="AC251"/>
  <c r="AC252"/>
  <c r="AC253"/>
  <c r="AC254"/>
  <c r="AC255"/>
  <c r="AC256"/>
  <c r="AC257"/>
  <c r="AC258"/>
  <c r="AC259"/>
  <c r="AC260"/>
  <c r="AC261"/>
  <c r="AC262"/>
  <c r="AC263"/>
  <c r="AC264"/>
  <c r="AC265"/>
  <c r="AC266"/>
  <c r="AC267"/>
  <c r="AC268"/>
  <c r="AC269"/>
  <c r="AC270"/>
  <c r="AC271"/>
  <c r="AC272"/>
  <c r="AC273"/>
  <c r="AC274"/>
  <c r="AC275"/>
  <c r="AC276"/>
  <c r="AC277"/>
  <c r="AC278"/>
  <c r="AC279"/>
  <c r="AC280"/>
  <c r="AC281"/>
  <c r="AC282"/>
  <c r="AC283"/>
  <c r="AC284"/>
  <c r="AC285"/>
  <c r="AC286"/>
  <c r="AC287"/>
  <c r="AC288"/>
  <c r="AC289"/>
  <c r="AC290"/>
  <c r="AC291"/>
  <c r="AC292"/>
  <c r="AC293"/>
  <c r="AC294"/>
  <c r="AC295"/>
  <c r="AC296"/>
  <c r="AC297"/>
  <c r="AC298"/>
  <c r="AC299"/>
  <c r="AC300"/>
  <c r="AC301"/>
  <c r="AC302"/>
  <c r="AC303"/>
  <c r="AC304"/>
  <c r="AC305"/>
  <c r="AC306"/>
  <c r="AC307"/>
  <c r="AC308"/>
  <c r="AC309"/>
  <c r="AC310"/>
  <c r="AC311"/>
  <c r="AC312"/>
  <c r="AC313"/>
  <c r="AC314"/>
  <c r="AC315"/>
  <c r="AC316"/>
  <c r="AC317"/>
  <c r="AC318"/>
  <c r="AC319"/>
  <c r="AC320"/>
  <c r="AC321"/>
  <c r="AC322"/>
  <c r="AC323"/>
  <c r="AC324"/>
  <c r="AC325"/>
  <c r="AC326"/>
  <c r="AC327"/>
  <c r="AC328"/>
  <c r="AC329"/>
  <c r="AC330"/>
  <c r="AC331"/>
  <c r="AC332"/>
  <c r="AC333"/>
  <c r="AC334"/>
  <c r="AC335"/>
  <c r="AC336"/>
  <c r="AC337"/>
  <c r="AC338"/>
  <c r="AC339"/>
  <c r="AC340"/>
  <c r="AC341"/>
  <c r="AC342"/>
  <c r="AC343"/>
  <c r="AC344"/>
  <c r="AC345"/>
  <c r="AC346"/>
  <c r="AC347"/>
  <c r="AC348"/>
  <c r="AC349"/>
  <c r="AC350"/>
  <c r="AC351"/>
  <c r="AC352"/>
  <c r="AC353"/>
  <c r="AC354"/>
  <c r="AC355"/>
  <c r="AC356"/>
  <c r="AC357"/>
  <c r="AC358"/>
  <c r="AC359"/>
  <c r="AC360"/>
  <c r="AC361"/>
  <c r="AC362"/>
  <c r="AC363"/>
  <c r="AC364"/>
  <c r="AC365"/>
  <c r="AC366"/>
  <c r="AC367"/>
  <c r="AC368"/>
  <c r="AC369"/>
  <c r="AC370"/>
  <c r="AC371"/>
  <c r="AC372"/>
  <c r="AC373"/>
  <c r="AC374"/>
  <c r="AC375"/>
  <c r="AC376"/>
  <c r="AC377"/>
  <c r="AC378"/>
  <c r="AC379"/>
  <c r="AC380"/>
  <c r="AC381"/>
  <c r="AC382"/>
  <c r="AC383"/>
  <c r="AC384"/>
  <c r="AC385"/>
  <c r="AC386"/>
  <c r="AC387"/>
  <c r="AC388"/>
  <c r="AC389"/>
  <c r="AC390"/>
  <c r="AC391"/>
  <c r="AC392"/>
  <c r="AC393"/>
  <c r="AC394"/>
  <c r="AC395"/>
  <c r="AC396"/>
  <c r="AC397"/>
  <c r="AC398"/>
  <c r="AC399"/>
  <c r="AC400"/>
  <c r="AC401"/>
  <c r="AC402"/>
  <c r="AC403"/>
  <c r="AC404"/>
  <c r="AC405"/>
  <c r="AC406"/>
  <c r="AC407"/>
  <c r="AC408"/>
  <c r="AC409"/>
  <c r="AC410"/>
  <c r="AC411"/>
  <c r="AC412"/>
  <c r="AC413"/>
  <c r="AC414"/>
  <c r="AC415"/>
  <c r="AC416"/>
  <c r="AC417"/>
  <c r="AC418"/>
  <c r="AC419"/>
  <c r="AC420"/>
  <c r="AC421"/>
  <c r="AC422"/>
  <c r="AC423"/>
  <c r="AC424"/>
  <c r="AC425"/>
  <c r="AC426"/>
  <c r="AC427"/>
  <c r="AC428"/>
  <c r="AC429"/>
  <c r="AC430"/>
  <c r="AC431"/>
  <c r="AC432"/>
  <c r="AC433"/>
  <c r="AC434"/>
  <c r="AC435"/>
  <c r="AC436"/>
  <c r="AC437"/>
  <c r="AC438"/>
  <c r="AC439"/>
  <c r="AC440"/>
  <c r="AC441"/>
  <c r="AC442"/>
  <c r="AC443"/>
  <c r="AC444"/>
  <c r="AC445"/>
  <c r="AC446"/>
  <c r="AC447"/>
  <c r="AC448"/>
  <c r="AC449"/>
  <c r="AC450"/>
  <c r="AC451"/>
  <c r="AC452"/>
  <c r="AC453"/>
  <c r="AC454"/>
  <c r="AC455"/>
  <c r="AC456"/>
  <c r="AC457"/>
  <c r="AC458"/>
  <c r="AC459"/>
  <c r="AC460"/>
  <c r="AC461"/>
  <c r="AC462"/>
  <c r="AC3"/>
  <c r="AB3"/>
  <c r="AB4"/>
  <c r="AO4"/>
  <c r="AB5"/>
  <c r="AB6"/>
  <c r="AM6"/>
  <c r="AB7"/>
  <c r="AN7"/>
  <c r="AO7"/>
  <c r="AB8"/>
  <c r="AO8"/>
  <c r="AB9"/>
  <c r="AB10"/>
  <c r="AN10"/>
  <c r="AB11"/>
  <c r="AN11"/>
  <c r="AO11"/>
  <c r="AB12"/>
  <c r="AK12"/>
  <c r="AO12"/>
  <c r="AB13"/>
  <c r="AM13"/>
  <c r="AB14"/>
  <c r="AM14"/>
  <c r="AB15"/>
  <c r="AO15"/>
  <c r="AB16"/>
  <c r="AO16"/>
  <c r="AB17"/>
  <c r="AB18"/>
  <c r="AB19"/>
  <c r="AN19"/>
  <c r="AO19"/>
  <c r="AB20"/>
  <c r="AO20"/>
  <c r="AB21"/>
  <c r="AB22"/>
  <c r="AM22"/>
  <c r="AN22"/>
  <c r="AB23"/>
  <c r="AO23"/>
  <c r="AB24"/>
  <c r="AO24"/>
  <c r="AB25"/>
  <c r="AB26"/>
  <c r="AB27"/>
  <c r="AN27"/>
  <c r="AO27"/>
  <c r="AB28"/>
  <c r="AK28"/>
  <c r="AO28"/>
  <c r="AB29"/>
  <c r="AB30"/>
  <c r="AM30"/>
  <c r="AB31"/>
  <c r="AN31"/>
  <c r="AO31"/>
  <c r="AB32"/>
  <c r="AO32"/>
  <c r="AB33"/>
  <c r="AM33"/>
  <c r="AB34"/>
  <c r="AB35"/>
  <c r="AN35"/>
  <c r="AO35"/>
  <c r="AB36"/>
  <c r="AO36"/>
  <c r="AB37"/>
  <c r="AB38"/>
  <c r="AM38"/>
  <c r="AB39"/>
  <c r="AN39"/>
  <c r="AO39"/>
  <c r="AB40"/>
  <c r="AO40"/>
  <c r="AB41"/>
  <c r="AB42"/>
  <c r="AN42"/>
  <c r="AB43"/>
  <c r="AN43"/>
  <c r="AO43"/>
  <c r="AB44"/>
  <c r="AK44"/>
  <c r="AO44"/>
  <c r="AB45"/>
  <c r="AM45"/>
  <c r="AB46"/>
  <c r="AM46"/>
  <c r="AB47"/>
  <c r="AO47"/>
  <c r="AB48"/>
  <c r="AO48"/>
  <c r="AB49"/>
  <c r="AB50"/>
  <c r="AB51"/>
  <c r="AN51"/>
  <c r="AO51"/>
  <c r="AB52"/>
  <c r="AO52"/>
  <c r="AB53"/>
  <c r="AB54"/>
  <c r="AM54"/>
  <c r="AN54"/>
  <c r="AB55"/>
  <c r="AO55"/>
  <c r="AB56"/>
  <c r="AO56"/>
  <c r="AB57"/>
  <c r="AB58"/>
  <c r="AB59"/>
  <c r="AN59"/>
  <c r="AO59"/>
  <c r="AB60"/>
  <c r="AK60"/>
  <c r="AO60"/>
  <c r="AB61"/>
  <c r="AM61"/>
  <c r="AB62"/>
  <c r="AM62"/>
  <c r="AB63"/>
  <c r="AN63"/>
  <c r="AO63"/>
  <c r="AB64"/>
  <c r="AO64"/>
  <c r="AB65"/>
  <c r="AB66"/>
  <c r="AB67"/>
  <c r="AN67"/>
  <c r="AO67"/>
  <c r="AB68"/>
  <c r="AO68"/>
  <c r="AB69"/>
  <c r="AM69"/>
  <c r="AB70"/>
  <c r="AM70"/>
  <c r="AB71"/>
  <c r="AN71"/>
  <c r="AO71"/>
  <c r="AB72"/>
  <c r="AO72"/>
  <c r="AB73"/>
  <c r="AB74"/>
  <c r="AB75"/>
  <c r="AN75"/>
  <c r="AO75"/>
  <c r="AB76"/>
  <c r="AK76"/>
  <c r="AO76"/>
  <c r="AB77"/>
  <c r="AB78"/>
  <c r="AM78"/>
  <c r="AB79"/>
  <c r="AO79"/>
  <c r="AB80"/>
  <c r="AO80"/>
  <c r="AB81"/>
  <c r="AM81"/>
  <c r="AB82"/>
  <c r="AB83"/>
  <c r="AN83"/>
  <c r="AO83"/>
  <c r="AB84"/>
  <c r="AO84"/>
  <c r="AB85"/>
  <c r="AB86"/>
  <c r="AM86"/>
  <c r="AN86"/>
  <c r="AB87"/>
  <c r="AO87"/>
  <c r="AB88"/>
  <c r="AO88"/>
  <c r="AB89"/>
  <c r="AB90"/>
  <c r="AB91"/>
  <c r="AN91"/>
  <c r="AO91"/>
  <c r="AB92"/>
  <c r="AK92"/>
  <c r="AO92"/>
  <c r="AB93"/>
  <c r="AM93"/>
  <c r="AB94"/>
  <c r="AM94"/>
  <c r="AB95"/>
  <c r="AO95"/>
  <c r="AB96"/>
  <c r="AO96"/>
  <c r="AB97"/>
  <c r="AB98"/>
  <c r="AB99"/>
  <c r="AO99"/>
  <c r="AB100"/>
  <c r="AO100"/>
  <c r="AB101"/>
  <c r="AB102"/>
  <c r="AM102"/>
  <c r="AB103"/>
  <c r="AN103"/>
  <c r="AO103"/>
  <c r="AB104"/>
  <c r="AO104"/>
  <c r="AB105"/>
  <c r="AM105"/>
  <c r="AB106"/>
  <c r="AB107"/>
  <c r="AN107"/>
  <c r="AO107"/>
  <c r="AB108"/>
  <c r="AK108"/>
  <c r="AO108"/>
  <c r="AB109"/>
  <c r="AB110"/>
  <c r="AM110"/>
  <c r="AB111"/>
  <c r="AN111"/>
  <c r="AO111"/>
  <c r="AB112"/>
  <c r="AO112"/>
  <c r="AB113"/>
  <c r="AM113"/>
  <c r="AB114"/>
  <c r="AB115"/>
  <c r="AN115"/>
  <c r="AO115"/>
  <c r="AB116"/>
  <c r="AO116"/>
  <c r="AB117"/>
  <c r="AB118"/>
  <c r="AM118"/>
  <c r="AN118"/>
  <c r="AB119"/>
  <c r="AO119"/>
  <c r="AB120"/>
  <c r="AO120"/>
  <c r="AB121"/>
  <c r="AB122"/>
  <c r="AB123"/>
  <c r="AN123"/>
  <c r="AO123"/>
  <c r="AB124"/>
  <c r="AK124"/>
  <c r="AO124"/>
  <c r="AB125"/>
  <c r="AB126"/>
  <c r="AM126"/>
  <c r="AB127"/>
  <c r="AO127"/>
  <c r="AB128"/>
  <c r="AO128"/>
  <c r="AB129"/>
  <c r="AM129"/>
  <c r="AB130"/>
  <c r="AN130"/>
  <c r="AB131"/>
  <c r="AO131"/>
  <c r="AB132"/>
  <c r="AO132"/>
  <c r="AB133"/>
  <c r="AB134"/>
  <c r="AM134"/>
  <c r="AB135"/>
  <c r="AN135"/>
  <c r="AO135"/>
  <c r="AB136"/>
  <c r="AO136"/>
  <c r="AB137"/>
  <c r="AB138"/>
  <c r="AB139"/>
  <c r="AN139"/>
  <c r="AO139"/>
  <c r="AB140"/>
  <c r="AK140"/>
  <c r="AO140"/>
  <c r="AB141"/>
  <c r="AM141"/>
  <c r="AB142"/>
  <c r="AM142"/>
  <c r="AB143"/>
  <c r="AN143"/>
  <c r="AO143"/>
  <c r="AB144"/>
  <c r="AO144"/>
  <c r="AB145"/>
  <c r="AB146"/>
  <c r="AB147"/>
  <c r="AN147"/>
  <c r="AO147"/>
  <c r="AB148"/>
  <c r="AO148"/>
  <c r="AB149"/>
  <c r="AB150"/>
  <c r="AM150"/>
  <c r="AN150"/>
  <c r="AB151"/>
  <c r="AO151"/>
  <c r="AB152"/>
  <c r="AO152"/>
  <c r="AB153"/>
  <c r="AB154"/>
  <c r="AB155"/>
  <c r="AN155"/>
  <c r="AO155"/>
  <c r="AB156"/>
  <c r="AK156"/>
  <c r="AO156"/>
  <c r="AB157"/>
  <c r="AB158"/>
  <c r="AM158"/>
  <c r="AB159"/>
  <c r="AO159"/>
  <c r="AB160"/>
  <c r="AO160"/>
  <c r="AB161"/>
  <c r="AM161"/>
  <c r="AB162"/>
  <c r="AN162"/>
  <c r="AB163"/>
  <c r="AO163"/>
  <c r="AB164"/>
  <c r="AO164"/>
  <c r="AB165"/>
  <c r="AB166"/>
  <c r="AM166"/>
  <c r="AB167"/>
  <c r="AN167"/>
  <c r="AO167"/>
  <c r="AB168"/>
  <c r="AO168"/>
  <c r="AB169"/>
  <c r="AB170"/>
  <c r="AB171"/>
  <c r="AN171"/>
  <c r="AO171"/>
  <c r="AB172"/>
  <c r="AK172"/>
  <c r="AO172"/>
  <c r="AB173"/>
  <c r="AM173"/>
  <c r="AB174"/>
  <c r="AM174"/>
  <c r="AB175"/>
  <c r="AN175"/>
  <c r="AO175"/>
  <c r="AB176"/>
  <c r="AO176"/>
  <c r="AB177"/>
  <c r="AB178"/>
  <c r="AB179"/>
  <c r="AN179"/>
  <c r="AO179"/>
  <c r="AB180"/>
  <c r="AO180"/>
  <c r="AB181"/>
  <c r="AB182"/>
  <c r="AM182"/>
  <c r="AN182"/>
  <c r="AB183"/>
  <c r="AB184"/>
  <c r="AO184"/>
  <c r="AB185"/>
  <c r="AB186"/>
  <c r="AB187"/>
  <c r="AN187"/>
  <c r="AB188"/>
  <c r="AK188"/>
  <c r="AO188"/>
  <c r="AB189"/>
  <c r="AM189"/>
  <c r="AB190"/>
  <c r="AM190"/>
  <c r="AB191"/>
  <c r="AB192"/>
  <c r="AO192"/>
  <c r="AB193"/>
  <c r="AB194"/>
  <c r="AN194"/>
  <c r="AB195"/>
  <c r="AO195"/>
  <c r="AB196"/>
  <c r="AO196"/>
  <c r="AB197"/>
  <c r="AM197"/>
  <c r="AB198"/>
  <c r="AM198"/>
  <c r="AN198"/>
  <c r="AB199"/>
  <c r="AN199"/>
  <c r="AB200"/>
  <c r="AO200"/>
  <c r="AB201"/>
  <c r="AB202"/>
  <c r="AB203"/>
  <c r="AN203"/>
  <c r="AB204"/>
  <c r="AK204"/>
  <c r="AO204"/>
  <c r="AB205"/>
  <c r="AB206"/>
  <c r="AM206"/>
  <c r="AB207"/>
  <c r="AN207"/>
  <c r="AB208"/>
  <c r="AO208"/>
  <c r="AB209"/>
  <c r="AM209"/>
  <c r="AB210"/>
  <c r="AB211"/>
  <c r="AN211"/>
  <c r="AO211"/>
  <c r="AB212"/>
  <c r="AO212"/>
  <c r="AB213"/>
  <c r="AB214"/>
  <c r="AM214"/>
  <c r="AN214"/>
  <c r="AB215"/>
  <c r="AB216"/>
  <c r="AO216"/>
  <c r="AB217"/>
  <c r="AB218"/>
  <c r="AB219"/>
  <c r="AN219"/>
  <c r="AB220"/>
  <c r="AK220"/>
  <c r="AO220"/>
  <c r="AB221"/>
  <c r="AM221"/>
  <c r="AB222"/>
  <c r="AM222"/>
  <c r="AB223"/>
  <c r="AB224"/>
  <c r="AO224"/>
  <c r="AB225"/>
  <c r="AB226"/>
  <c r="AB227"/>
  <c r="AO227"/>
  <c r="AB228"/>
  <c r="AO228"/>
  <c r="AB229"/>
  <c r="AB230"/>
  <c r="AM230"/>
  <c r="AN230"/>
  <c r="AB231"/>
  <c r="AN231"/>
  <c r="AB232"/>
  <c r="AO232"/>
  <c r="AB233"/>
  <c r="AM233"/>
  <c r="AB234"/>
  <c r="AB235"/>
  <c r="AN235"/>
  <c r="AB236"/>
  <c r="AK236"/>
  <c r="AO236"/>
  <c r="AB237"/>
  <c r="AB238"/>
  <c r="AM238"/>
  <c r="AB239"/>
  <c r="AN239"/>
  <c r="AB240"/>
  <c r="AO240"/>
  <c r="AB241"/>
  <c r="AM241"/>
  <c r="AB242"/>
  <c r="AB243"/>
  <c r="AN243"/>
  <c r="AO243"/>
  <c r="AB244"/>
  <c r="AO244"/>
  <c r="AB245"/>
  <c r="AB246"/>
  <c r="AM246"/>
  <c r="AB247"/>
  <c r="AB248"/>
  <c r="AO248"/>
  <c r="AB249"/>
  <c r="AB250"/>
  <c r="AB251"/>
  <c r="AN251"/>
  <c r="AB252"/>
  <c r="AK252"/>
  <c r="AO252"/>
  <c r="AB253"/>
  <c r="AB254"/>
  <c r="AM254"/>
  <c r="AB255"/>
  <c r="AB256"/>
  <c r="AO256"/>
  <c r="AB257"/>
  <c r="AM257"/>
  <c r="AB258"/>
  <c r="AB259"/>
  <c r="AO259"/>
  <c r="AB260"/>
  <c r="AO260"/>
  <c r="AB261"/>
  <c r="AB262"/>
  <c r="AM262"/>
  <c r="AN262"/>
  <c r="AB263"/>
  <c r="AN263"/>
  <c r="AB264"/>
  <c r="AO264"/>
  <c r="AB265"/>
  <c r="AB266"/>
  <c r="AB267"/>
  <c r="AN267"/>
  <c r="AB268"/>
  <c r="AK268"/>
  <c r="AO268"/>
  <c r="AB269"/>
  <c r="AM269"/>
  <c r="AB270"/>
  <c r="AM270"/>
  <c r="AB271"/>
  <c r="AN271"/>
  <c r="AB272"/>
  <c r="AO272"/>
  <c r="AB273"/>
  <c r="AB274"/>
  <c r="AB275"/>
  <c r="AN275"/>
  <c r="AO275"/>
  <c r="AB276"/>
  <c r="AO276"/>
  <c r="AB277"/>
  <c r="AB278"/>
  <c r="AM278"/>
  <c r="AB279"/>
  <c r="AB280"/>
  <c r="AO280"/>
  <c r="AB281"/>
  <c r="AB282"/>
  <c r="AB283"/>
  <c r="AN283"/>
  <c r="AB284"/>
  <c r="AK284"/>
  <c r="AO284"/>
  <c r="AB285"/>
  <c r="AB286"/>
  <c r="AM286"/>
  <c r="AB287"/>
  <c r="AB288"/>
  <c r="AO288"/>
  <c r="AB289"/>
  <c r="AM289"/>
  <c r="AB290"/>
  <c r="AB291"/>
  <c r="AO291"/>
  <c r="AB292"/>
  <c r="AO292"/>
  <c r="AB293"/>
  <c r="AB294"/>
  <c r="AM294"/>
  <c r="AN294"/>
  <c r="AB295"/>
  <c r="AN295"/>
  <c r="AB296"/>
  <c r="AO296"/>
  <c r="AB297"/>
  <c r="AB298"/>
  <c r="AB299"/>
  <c r="AN299"/>
  <c r="AB300"/>
  <c r="AK300"/>
  <c r="AO300"/>
  <c r="AB301"/>
  <c r="AM301"/>
  <c r="AB302"/>
  <c r="AM302"/>
  <c r="AB303"/>
  <c r="AN303"/>
  <c r="AB304"/>
  <c r="AO304"/>
  <c r="AB305"/>
  <c r="AB306"/>
  <c r="AB307"/>
  <c r="AN307"/>
  <c r="AO307"/>
  <c r="AB308"/>
  <c r="AO308"/>
  <c r="AB309"/>
  <c r="AB310"/>
  <c r="AM310"/>
  <c r="AB311"/>
  <c r="AB312"/>
  <c r="AO312"/>
  <c r="AB313"/>
  <c r="AB314"/>
  <c r="AB315"/>
  <c r="AN315"/>
  <c r="AB316"/>
  <c r="AK316"/>
  <c r="AO316"/>
  <c r="AB317"/>
  <c r="AM317"/>
  <c r="AB318"/>
  <c r="AM318"/>
  <c r="AB319"/>
  <c r="AB320"/>
  <c r="AO320"/>
  <c r="AB321"/>
  <c r="AB322"/>
  <c r="AB323"/>
  <c r="AO323"/>
  <c r="AB324"/>
  <c r="AO324"/>
  <c r="AB325"/>
  <c r="AM325"/>
  <c r="AB326"/>
  <c r="AM326"/>
  <c r="AB327"/>
  <c r="AN327"/>
  <c r="AB328"/>
  <c r="AO328"/>
  <c r="AB329"/>
  <c r="AB330"/>
  <c r="AB331"/>
  <c r="AN331"/>
  <c r="AB332"/>
  <c r="AK332"/>
  <c r="AO332"/>
  <c r="AB333"/>
  <c r="AB334"/>
  <c r="AM334"/>
  <c r="AB335"/>
  <c r="AN335"/>
  <c r="AB336"/>
  <c r="AO336"/>
  <c r="AB337"/>
  <c r="AM337"/>
  <c r="AB338"/>
  <c r="AB339"/>
  <c r="AN339"/>
  <c r="AO339"/>
  <c r="AB340"/>
  <c r="AO340"/>
  <c r="AB341"/>
  <c r="AB342"/>
  <c r="AM342"/>
  <c r="AB343"/>
  <c r="AB344"/>
  <c r="AO344"/>
  <c r="AB345"/>
  <c r="AB346"/>
  <c r="AB347"/>
  <c r="AN347"/>
  <c r="AB348"/>
  <c r="AK348"/>
  <c r="AO348"/>
  <c r="AB349"/>
  <c r="AM349"/>
  <c r="AB350"/>
  <c r="AM350"/>
  <c r="AB351"/>
  <c r="AB352"/>
  <c r="AO352"/>
  <c r="AB353"/>
  <c r="AB354"/>
  <c r="AN354"/>
  <c r="AB355"/>
  <c r="AO355"/>
  <c r="AB356"/>
  <c r="AO356"/>
  <c r="AB357"/>
  <c r="AB358"/>
  <c r="AM358"/>
  <c r="AB359"/>
  <c r="AB360"/>
  <c r="AO360"/>
  <c r="AB361"/>
  <c r="AM361"/>
  <c r="AB362"/>
  <c r="AB363"/>
  <c r="AN363"/>
  <c r="AB364"/>
  <c r="AK364"/>
  <c r="AO364"/>
  <c r="AB365"/>
  <c r="AB366"/>
  <c r="AM366"/>
  <c r="AB367"/>
  <c r="AN367"/>
  <c r="AB368"/>
  <c r="AO368"/>
  <c r="AB369"/>
  <c r="AM369"/>
  <c r="AB370"/>
  <c r="AB371"/>
  <c r="AN371"/>
  <c r="AO371"/>
  <c r="AB372"/>
  <c r="AO372"/>
  <c r="AB373"/>
  <c r="AB374"/>
  <c r="AM374"/>
  <c r="AB375"/>
  <c r="AN375"/>
  <c r="AB376"/>
  <c r="AO376"/>
  <c r="AB377"/>
  <c r="AB378"/>
  <c r="AB379"/>
  <c r="AB380"/>
  <c r="AK380"/>
  <c r="AO380"/>
  <c r="AB381"/>
  <c r="AB382"/>
  <c r="AM382"/>
  <c r="AB383"/>
  <c r="AN383"/>
  <c r="AB384"/>
  <c r="AO384"/>
  <c r="AB385"/>
  <c r="AM385"/>
  <c r="AB386"/>
  <c r="AB387"/>
  <c r="AO387"/>
  <c r="AB388"/>
  <c r="AO388"/>
  <c r="AB389"/>
  <c r="AB390"/>
  <c r="AM390"/>
  <c r="AB391"/>
  <c r="AN391"/>
  <c r="AB392"/>
  <c r="AO392"/>
  <c r="AB393"/>
  <c r="AB394"/>
  <c r="AB395"/>
  <c r="AB396"/>
  <c r="AK396"/>
  <c r="AO396"/>
  <c r="AB397"/>
  <c r="AM397"/>
  <c r="AB398"/>
  <c r="AM398"/>
  <c r="AB399"/>
  <c r="AN399"/>
  <c r="AB400"/>
  <c r="AO400"/>
  <c r="AB401"/>
  <c r="AB402"/>
  <c r="AB403"/>
  <c r="AN403"/>
  <c r="AO403"/>
  <c r="AB404"/>
  <c r="AO404"/>
  <c r="AB405"/>
  <c r="AB406"/>
  <c r="AM406"/>
  <c r="AB407"/>
  <c r="AN407"/>
  <c r="AB408"/>
  <c r="AO408"/>
  <c r="AB409"/>
  <c r="AB410"/>
  <c r="AB411"/>
  <c r="AN411"/>
  <c r="AB412"/>
  <c r="AK412"/>
  <c r="AO412"/>
  <c r="AB413"/>
  <c r="AB414"/>
  <c r="AM414"/>
  <c r="AB415"/>
  <c r="AN415"/>
  <c r="AB416"/>
  <c r="AO416"/>
  <c r="AB417"/>
  <c r="AM417"/>
  <c r="AB418"/>
  <c r="AB419"/>
  <c r="AO419"/>
  <c r="AB420"/>
  <c r="AO420"/>
  <c r="AB421"/>
  <c r="AB422"/>
  <c r="AM422"/>
  <c r="AB423"/>
  <c r="AN423"/>
  <c r="AB424"/>
  <c r="AO424"/>
  <c r="AB425"/>
  <c r="AB426"/>
  <c r="AB427"/>
  <c r="AB428"/>
  <c r="AK428"/>
  <c r="AO428"/>
  <c r="AB429"/>
  <c r="AM429"/>
  <c r="AB430"/>
  <c r="AM430"/>
  <c r="AB431"/>
  <c r="AN431"/>
  <c r="AB432"/>
  <c r="AO432"/>
  <c r="AB433"/>
  <c r="AB434"/>
  <c r="AB435"/>
  <c r="AN435"/>
  <c r="AO435"/>
  <c r="AB436"/>
  <c r="AO436"/>
  <c r="AB437"/>
  <c r="AB438"/>
  <c r="AM438"/>
  <c r="AB439"/>
  <c r="AN439"/>
  <c r="AB440"/>
  <c r="AO440"/>
  <c r="AB441"/>
  <c r="AB442"/>
  <c r="AN442"/>
  <c r="AB443"/>
  <c r="AN443"/>
  <c r="AB444"/>
  <c r="AK444"/>
  <c r="AO444"/>
  <c r="AB445"/>
  <c r="AM445"/>
  <c r="AB446"/>
  <c r="AM446"/>
  <c r="AB447"/>
  <c r="AN447"/>
  <c r="AB448"/>
  <c r="AO448"/>
  <c r="AB449"/>
  <c r="AB450"/>
  <c r="AB451"/>
  <c r="AL451"/>
  <c r="AO451"/>
  <c r="AB452"/>
  <c r="AL452"/>
  <c r="AO452"/>
  <c r="AB453"/>
  <c r="AB454"/>
  <c r="AK454"/>
  <c r="AB455"/>
  <c r="AL455"/>
  <c r="AN455"/>
  <c r="AB456"/>
  <c r="AO456"/>
  <c r="AB457"/>
  <c r="AB458"/>
  <c r="AK458"/>
  <c r="AN458"/>
  <c r="AB459"/>
  <c r="AK459"/>
  <c r="AB460"/>
  <c r="AO460"/>
  <c r="AB461"/>
  <c r="AL461"/>
  <c r="AB462"/>
  <c r="AK462"/>
  <c r="AN462"/>
  <c r="AL4"/>
  <c r="AL7"/>
  <c r="AL8"/>
  <c r="AL11"/>
  <c r="AL12"/>
  <c r="AL15"/>
  <c r="AL16"/>
  <c r="AL19"/>
  <c r="AL20"/>
  <c r="AL23"/>
  <c r="AL24"/>
  <c r="AL27"/>
  <c r="AL28"/>
  <c r="AL31"/>
  <c r="AL32"/>
  <c r="AL35"/>
  <c r="AL36"/>
  <c r="AL39"/>
  <c r="AL40"/>
  <c r="AL43"/>
  <c r="AL44"/>
  <c r="AL47"/>
  <c r="AL48"/>
  <c r="AL51"/>
  <c r="AL52"/>
  <c r="AL55"/>
  <c r="AL56"/>
  <c r="AL59"/>
  <c r="AL60"/>
  <c r="AL63"/>
  <c r="AL64"/>
  <c r="AL67"/>
  <c r="AL68"/>
  <c r="AL71"/>
  <c r="AL72"/>
  <c r="AL75"/>
  <c r="AL76"/>
  <c r="AL79"/>
  <c r="AL80"/>
  <c r="AL83"/>
  <c r="AL84"/>
  <c r="AL87"/>
  <c r="AL88"/>
  <c r="AL91"/>
  <c r="AL92"/>
  <c r="AL95"/>
  <c r="AL96"/>
  <c r="AL99"/>
  <c r="AL100"/>
  <c r="AL103"/>
  <c r="AL104"/>
  <c r="AL107"/>
  <c r="AL108"/>
  <c r="AL111"/>
  <c r="AL112"/>
  <c r="AL115"/>
  <c r="AL116"/>
  <c r="AL119"/>
  <c r="AL120"/>
  <c r="AL123"/>
  <c r="AL124"/>
  <c r="AL127"/>
  <c r="AL128"/>
  <c r="AL131"/>
  <c r="AL132"/>
  <c r="AL135"/>
  <c r="AL136"/>
  <c r="AL139"/>
  <c r="AL140"/>
  <c r="AL143"/>
  <c r="AL144"/>
  <c r="AL147"/>
  <c r="AL148"/>
  <c r="AL151"/>
  <c r="AL152"/>
  <c r="AL155"/>
  <c r="AL156"/>
  <c r="AL159"/>
  <c r="AL160"/>
  <c r="AL163"/>
  <c r="AL164"/>
  <c r="AL167"/>
  <c r="AL168"/>
  <c r="AL171"/>
  <c r="AL172"/>
  <c r="AL175"/>
  <c r="AL176"/>
  <c r="AL179"/>
  <c r="AL180"/>
  <c r="AL183"/>
  <c r="AL184"/>
  <c r="AL187"/>
  <c r="AL188"/>
  <c r="AL191"/>
  <c r="AL192"/>
  <c r="AL195"/>
  <c r="AL196"/>
  <c r="AL199"/>
  <c r="AL200"/>
  <c r="AL203"/>
  <c r="AL204"/>
  <c r="AL207"/>
  <c r="AL208"/>
  <c r="AL211"/>
  <c r="AL212"/>
  <c r="AL215"/>
  <c r="AL216"/>
  <c r="AL219"/>
  <c r="AL220"/>
  <c r="AL223"/>
  <c r="AL224"/>
  <c r="AL227"/>
  <c r="AL228"/>
  <c r="AL231"/>
  <c r="AL232"/>
  <c r="AL235"/>
  <c r="AL236"/>
  <c r="AL239"/>
  <c r="AL240"/>
  <c r="AL243"/>
  <c r="AL244"/>
  <c r="AL247"/>
  <c r="AL248"/>
  <c r="AL251"/>
  <c r="AL252"/>
  <c r="AL255"/>
  <c r="AL256"/>
  <c r="AL259"/>
  <c r="AL260"/>
  <c r="AL263"/>
  <c r="AL264"/>
  <c r="AL267"/>
  <c r="AL268"/>
  <c r="AL271"/>
  <c r="AL272"/>
  <c r="AL275"/>
  <c r="AL276"/>
  <c r="AL279"/>
  <c r="AL280"/>
  <c r="AL283"/>
  <c r="AL284"/>
  <c r="AL287"/>
  <c r="AL288"/>
  <c r="AL291"/>
  <c r="AL292"/>
  <c r="AL295"/>
  <c r="AL296"/>
  <c r="AL299"/>
  <c r="AL300"/>
  <c r="AL303"/>
  <c r="AL304"/>
  <c r="AL307"/>
  <c r="AL308"/>
  <c r="AL311"/>
  <c r="AL312"/>
  <c r="AL315"/>
  <c r="AL316"/>
  <c r="AL319"/>
  <c r="AL320"/>
  <c r="AL323"/>
  <c r="AL324"/>
  <c r="AL327"/>
  <c r="AL328"/>
  <c r="AL331"/>
  <c r="AL332"/>
  <c r="AL335"/>
  <c r="AL336"/>
  <c r="AL339"/>
  <c r="AL340"/>
  <c r="AL343"/>
  <c r="AL344"/>
  <c r="AL347"/>
  <c r="AL348"/>
  <c r="AL351"/>
  <c r="AL352"/>
  <c r="AL355"/>
  <c r="AL356"/>
  <c r="AL359"/>
  <c r="AL360"/>
  <c r="AL363"/>
  <c r="AL364"/>
  <c r="AL367"/>
  <c r="AL368"/>
  <c r="AL371"/>
  <c r="AL372"/>
  <c r="AL375"/>
  <c r="AL376"/>
  <c r="AL379"/>
  <c r="AL380"/>
  <c r="AL383"/>
  <c r="AL384"/>
  <c r="AL387"/>
  <c r="AL388"/>
  <c r="AL391"/>
  <c r="AL392"/>
  <c r="AL395"/>
  <c r="AL396"/>
  <c r="AL399"/>
  <c r="AL400"/>
  <c r="AL403"/>
  <c r="AL404"/>
  <c r="AL407"/>
  <c r="AL408"/>
  <c r="AL411"/>
  <c r="AL412"/>
  <c r="AL415"/>
  <c r="AL416"/>
  <c r="AL419"/>
  <c r="AL420"/>
  <c r="AL423"/>
  <c r="AL424"/>
  <c r="AL427"/>
  <c r="AL428"/>
  <c r="AL431"/>
  <c r="AL432"/>
  <c r="AL435"/>
  <c r="AL436"/>
  <c r="AL439"/>
  <c r="AL440"/>
  <c r="AL443"/>
  <c r="AL444"/>
  <c r="AL447"/>
  <c r="AL448"/>
  <c r="AL453"/>
  <c r="AL454"/>
  <c r="AL456"/>
  <c r="AL460"/>
  <c r="AL462"/>
  <c r="AJ4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J129"/>
  <c r="AJ130"/>
  <c r="AJ131"/>
  <c r="AJ132"/>
  <c r="AJ133"/>
  <c r="AJ134"/>
  <c r="AJ135"/>
  <c r="AJ136"/>
  <c r="AJ137"/>
  <c r="AJ138"/>
  <c r="AJ139"/>
  <c r="AJ140"/>
  <c r="AJ141"/>
  <c r="AJ142"/>
  <c r="AJ143"/>
  <c r="AJ144"/>
  <c r="AJ145"/>
  <c r="AJ146"/>
  <c r="AJ147"/>
  <c r="AJ148"/>
  <c r="AJ149"/>
  <c r="AJ150"/>
  <c r="AJ151"/>
  <c r="AJ152"/>
  <c r="AJ153"/>
  <c r="AJ154"/>
  <c r="AJ155"/>
  <c r="AJ156"/>
  <c r="AJ157"/>
  <c r="AJ158"/>
  <c r="AJ159"/>
  <c r="AJ160"/>
  <c r="AJ161"/>
  <c r="AJ162"/>
  <c r="AJ163"/>
  <c r="AJ164"/>
  <c r="AJ165"/>
  <c r="AJ166"/>
  <c r="AJ167"/>
  <c r="AJ168"/>
  <c r="AJ169"/>
  <c r="AJ170"/>
  <c r="AJ171"/>
  <c r="AJ172"/>
  <c r="AJ173"/>
  <c r="AJ174"/>
  <c r="AJ175"/>
  <c r="AJ176"/>
  <c r="AJ177"/>
  <c r="AJ178"/>
  <c r="AJ179"/>
  <c r="AJ180"/>
  <c r="AJ181"/>
  <c r="AJ182"/>
  <c r="AJ183"/>
  <c r="AJ184"/>
  <c r="AJ185"/>
  <c r="AJ186"/>
  <c r="AJ187"/>
  <c r="AJ188"/>
  <c r="AJ189"/>
  <c r="AJ190"/>
  <c r="AJ191"/>
  <c r="AJ192"/>
  <c r="AJ193"/>
  <c r="AJ194"/>
  <c r="AJ195"/>
  <c r="AJ196"/>
  <c r="AJ197"/>
  <c r="AJ198"/>
  <c r="AJ199"/>
  <c r="AJ200"/>
  <c r="AJ201"/>
  <c r="AJ202"/>
  <c r="AJ203"/>
  <c r="AJ204"/>
  <c r="AJ205"/>
  <c r="AJ206"/>
  <c r="AJ207"/>
  <c r="AJ208"/>
  <c r="AJ209"/>
  <c r="AJ210"/>
  <c r="AJ211"/>
  <c r="AJ212"/>
  <c r="AJ213"/>
  <c r="AJ214"/>
  <c r="AJ215"/>
  <c r="AJ216"/>
  <c r="AJ217"/>
  <c r="AJ218"/>
  <c r="AJ219"/>
  <c r="AJ220"/>
  <c r="AJ221"/>
  <c r="AJ222"/>
  <c r="AJ223"/>
  <c r="AJ224"/>
  <c r="AJ225"/>
  <c r="AJ226"/>
  <c r="AJ227"/>
  <c r="AJ228"/>
  <c r="AJ229"/>
  <c r="AJ230"/>
  <c r="AJ231"/>
  <c r="AJ232"/>
  <c r="AJ233"/>
  <c r="AJ234"/>
  <c r="AJ235"/>
  <c r="AJ236"/>
  <c r="AJ237"/>
  <c r="AJ238"/>
  <c r="AJ239"/>
  <c r="AJ240"/>
  <c r="AJ241"/>
  <c r="AJ242"/>
  <c r="AJ243"/>
  <c r="AJ244"/>
  <c r="AJ245"/>
  <c r="AJ246"/>
  <c r="AJ247"/>
  <c r="AJ248"/>
  <c r="AJ249"/>
  <c r="AJ250"/>
  <c r="AJ251"/>
  <c r="AJ252"/>
  <c r="AJ253"/>
  <c r="AJ254"/>
  <c r="AJ255"/>
  <c r="AJ256"/>
  <c r="AJ257"/>
  <c r="AJ258"/>
  <c r="AJ259"/>
  <c r="AJ260"/>
  <c r="AJ261"/>
  <c r="AJ262"/>
  <c r="AJ263"/>
  <c r="AJ264"/>
  <c r="AJ265"/>
  <c r="AJ266"/>
  <c r="AJ267"/>
  <c r="AJ268"/>
  <c r="AJ269"/>
  <c r="AJ270"/>
  <c r="AJ271"/>
  <c r="AJ272"/>
  <c r="AJ273"/>
  <c r="AJ274"/>
  <c r="AJ275"/>
  <c r="AJ276"/>
  <c r="AJ277"/>
  <c r="AJ278"/>
  <c r="AJ279"/>
  <c r="AJ280"/>
  <c r="AJ281"/>
  <c r="AJ282"/>
  <c r="AJ283"/>
  <c r="AJ284"/>
  <c r="AJ285"/>
  <c r="AJ286"/>
  <c r="AJ287"/>
  <c r="AJ288"/>
  <c r="AJ289"/>
  <c r="AJ290"/>
  <c r="AJ291"/>
  <c r="AJ292"/>
  <c r="AJ293"/>
  <c r="AJ294"/>
  <c r="AJ295"/>
  <c r="AJ296"/>
  <c r="AJ297"/>
  <c r="AJ298"/>
  <c r="AJ299"/>
  <c r="AJ300"/>
  <c r="AJ301"/>
  <c r="AJ302"/>
  <c r="AJ303"/>
  <c r="AJ304"/>
  <c r="AJ305"/>
  <c r="AJ306"/>
  <c r="AJ307"/>
  <c r="AJ308"/>
  <c r="AJ309"/>
  <c r="AJ310"/>
  <c r="AJ311"/>
  <c r="AJ312"/>
  <c r="AJ313"/>
  <c r="AJ314"/>
  <c r="AJ315"/>
  <c r="AJ316"/>
  <c r="AJ317"/>
  <c r="AJ318"/>
  <c r="AJ319"/>
  <c r="AJ320"/>
  <c r="AJ321"/>
  <c r="AJ322"/>
  <c r="AJ323"/>
  <c r="AJ324"/>
  <c r="AJ325"/>
  <c r="AJ326"/>
  <c r="AJ327"/>
  <c r="AJ328"/>
  <c r="AJ329"/>
  <c r="AJ330"/>
  <c r="AJ331"/>
  <c r="AJ332"/>
  <c r="AJ333"/>
  <c r="AJ334"/>
  <c r="AJ335"/>
  <c r="AJ336"/>
  <c r="AJ337"/>
  <c r="AJ338"/>
  <c r="AJ339"/>
  <c r="AJ340"/>
  <c r="AJ341"/>
  <c r="AJ342"/>
  <c r="AJ343"/>
  <c r="AJ344"/>
  <c r="AJ345"/>
  <c r="AJ346"/>
  <c r="AJ347"/>
  <c r="AJ348"/>
  <c r="AJ349"/>
  <c r="AJ350"/>
  <c r="AJ351"/>
  <c r="AJ352"/>
  <c r="AJ353"/>
  <c r="AJ354"/>
  <c r="AJ355"/>
  <c r="AJ356"/>
  <c r="AJ357"/>
  <c r="AJ358"/>
  <c r="AJ359"/>
  <c r="AJ360"/>
  <c r="AJ361"/>
  <c r="AJ362"/>
  <c r="AJ363"/>
  <c r="AJ364"/>
  <c r="AJ365"/>
  <c r="AJ366"/>
  <c r="AJ367"/>
  <c r="AJ368"/>
  <c r="AJ369"/>
  <c r="AJ370"/>
  <c r="AJ371"/>
  <c r="AJ372"/>
  <c r="AJ373"/>
  <c r="AJ374"/>
  <c r="AJ375"/>
  <c r="AJ376"/>
  <c r="AJ377"/>
  <c r="AJ378"/>
  <c r="AJ379"/>
  <c r="AJ380"/>
  <c r="AJ381"/>
  <c r="AJ382"/>
  <c r="AJ383"/>
  <c r="AJ384"/>
  <c r="AJ385"/>
  <c r="AJ386"/>
  <c r="AJ387"/>
  <c r="AJ388"/>
  <c r="AJ389"/>
  <c r="AJ390"/>
  <c r="AJ391"/>
  <c r="AJ392"/>
  <c r="AJ393"/>
  <c r="AJ394"/>
  <c r="AJ395"/>
  <c r="AJ396"/>
  <c r="AJ397"/>
  <c r="AJ398"/>
  <c r="AJ399"/>
  <c r="AJ400"/>
  <c r="AJ401"/>
  <c r="AJ402"/>
  <c r="AJ403"/>
  <c r="AJ404"/>
  <c r="AJ405"/>
  <c r="AJ406"/>
  <c r="AJ407"/>
  <c r="AJ408"/>
  <c r="AJ409"/>
  <c r="AJ410"/>
  <c r="AJ411"/>
  <c r="AJ412"/>
  <c r="AJ413"/>
  <c r="AJ414"/>
  <c r="AJ415"/>
  <c r="AJ416"/>
  <c r="AJ417"/>
  <c r="AJ418"/>
  <c r="AJ419"/>
  <c r="AJ420"/>
  <c r="AJ421"/>
  <c r="AJ422"/>
  <c r="AJ423"/>
  <c r="AJ424"/>
  <c r="AJ425"/>
  <c r="AJ426"/>
  <c r="AJ427"/>
  <c r="AJ428"/>
  <c r="AJ429"/>
  <c r="AJ430"/>
  <c r="AJ431"/>
  <c r="AJ432"/>
  <c r="AJ433"/>
  <c r="AJ434"/>
  <c r="AJ435"/>
  <c r="AJ436"/>
  <c r="AJ437"/>
  <c r="AJ438"/>
  <c r="AJ439"/>
  <c r="AJ440"/>
  <c r="AJ441"/>
  <c r="AJ442"/>
  <c r="AJ443"/>
  <c r="AJ444"/>
  <c r="AJ445"/>
  <c r="AJ446"/>
  <c r="AJ447"/>
  <c r="AJ448"/>
  <c r="AJ449"/>
  <c r="AJ450"/>
  <c r="AJ451"/>
  <c r="AJ452"/>
  <c r="AJ453"/>
  <c r="AJ454"/>
  <c r="AJ455"/>
  <c r="AJ456"/>
  <c r="AJ457"/>
  <c r="AJ458"/>
  <c r="AJ459"/>
  <c r="AJ460"/>
  <c r="AJ461"/>
  <c r="AI4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I133"/>
  <c r="AI134"/>
  <c r="AI135"/>
  <c r="AI136"/>
  <c r="AI137"/>
  <c r="AI138"/>
  <c r="AI139"/>
  <c r="AI140"/>
  <c r="AI141"/>
  <c r="AI142"/>
  <c r="AI143"/>
  <c r="AI144"/>
  <c r="AI145"/>
  <c r="AI146"/>
  <c r="AI147"/>
  <c r="AI148"/>
  <c r="AI149"/>
  <c r="AI150"/>
  <c r="AI151"/>
  <c r="AI152"/>
  <c r="AI153"/>
  <c r="AI154"/>
  <c r="AI155"/>
  <c r="AI156"/>
  <c r="AI157"/>
  <c r="AI158"/>
  <c r="AI159"/>
  <c r="AI160"/>
  <c r="AI161"/>
  <c r="AI162"/>
  <c r="AI163"/>
  <c r="AI164"/>
  <c r="AI165"/>
  <c r="AI166"/>
  <c r="AI167"/>
  <c r="AI168"/>
  <c r="AI169"/>
  <c r="AI170"/>
  <c r="AI171"/>
  <c r="AI172"/>
  <c r="AI173"/>
  <c r="AI174"/>
  <c r="AI175"/>
  <c r="AI176"/>
  <c r="AI177"/>
  <c r="AI178"/>
  <c r="AI179"/>
  <c r="AI180"/>
  <c r="AI181"/>
  <c r="AI182"/>
  <c r="AI183"/>
  <c r="AI184"/>
  <c r="AI185"/>
  <c r="AI186"/>
  <c r="AI187"/>
  <c r="AI188"/>
  <c r="AI189"/>
  <c r="AI190"/>
  <c r="AI191"/>
  <c r="AI192"/>
  <c r="AI193"/>
  <c r="AI194"/>
  <c r="AI195"/>
  <c r="AI196"/>
  <c r="AI197"/>
  <c r="AI198"/>
  <c r="AI199"/>
  <c r="AI200"/>
  <c r="AI201"/>
  <c r="AI202"/>
  <c r="AI203"/>
  <c r="AI204"/>
  <c r="AI205"/>
  <c r="AI206"/>
  <c r="AI207"/>
  <c r="AI208"/>
  <c r="AI209"/>
  <c r="AI210"/>
  <c r="AI211"/>
  <c r="AI212"/>
  <c r="AI213"/>
  <c r="AI214"/>
  <c r="AI215"/>
  <c r="AI216"/>
  <c r="AI217"/>
  <c r="AI218"/>
  <c r="AI219"/>
  <c r="AI220"/>
  <c r="AI221"/>
  <c r="AI222"/>
  <c r="AI223"/>
  <c r="AI224"/>
  <c r="AI225"/>
  <c r="AI226"/>
  <c r="AI227"/>
  <c r="AI228"/>
  <c r="AI229"/>
  <c r="AI230"/>
  <c r="AI231"/>
  <c r="AI232"/>
  <c r="AI233"/>
  <c r="AI234"/>
  <c r="AI235"/>
  <c r="AI236"/>
  <c r="AI237"/>
  <c r="AI238"/>
  <c r="AI239"/>
  <c r="AI240"/>
  <c r="AI241"/>
  <c r="AI242"/>
  <c r="AI243"/>
  <c r="AI244"/>
  <c r="AI245"/>
  <c r="AI246"/>
  <c r="AI247"/>
  <c r="AI248"/>
  <c r="AI249"/>
  <c r="AI250"/>
  <c r="AI251"/>
  <c r="AI252"/>
  <c r="AI253"/>
  <c r="AI254"/>
  <c r="AI255"/>
  <c r="AI256"/>
  <c r="AI257"/>
  <c r="AI258"/>
  <c r="AI259"/>
  <c r="AI260"/>
  <c r="AI261"/>
  <c r="AI262"/>
  <c r="AI263"/>
  <c r="AI264"/>
  <c r="AI265"/>
  <c r="AI266"/>
  <c r="AI267"/>
  <c r="AI268"/>
  <c r="AI269"/>
  <c r="AI270"/>
  <c r="AI271"/>
  <c r="AI272"/>
  <c r="AI273"/>
  <c r="AI274"/>
  <c r="AI275"/>
  <c r="AI276"/>
  <c r="AI277"/>
  <c r="AI278"/>
  <c r="AI279"/>
  <c r="AI280"/>
  <c r="AI281"/>
  <c r="AI282"/>
  <c r="AI283"/>
  <c r="AI284"/>
  <c r="AI285"/>
  <c r="AI286"/>
  <c r="AI287"/>
  <c r="AI288"/>
  <c r="AI289"/>
  <c r="AI290"/>
  <c r="AI291"/>
  <c r="AI292"/>
  <c r="AI293"/>
  <c r="AI294"/>
  <c r="AI295"/>
  <c r="AI296"/>
  <c r="AI297"/>
  <c r="AI298"/>
  <c r="AI299"/>
  <c r="AI300"/>
  <c r="AI301"/>
  <c r="AI302"/>
  <c r="AI303"/>
  <c r="AI304"/>
  <c r="AI305"/>
  <c r="AI306"/>
  <c r="AI307"/>
  <c r="AI308"/>
  <c r="AI309"/>
  <c r="AI310"/>
  <c r="AI311"/>
  <c r="AI312"/>
  <c r="AI313"/>
  <c r="AI314"/>
  <c r="AI315"/>
  <c r="AI316"/>
  <c r="AI317"/>
  <c r="AI318"/>
  <c r="AI319"/>
  <c r="AI320"/>
  <c r="AI321"/>
  <c r="AI322"/>
  <c r="AI323"/>
  <c r="AI324"/>
  <c r="AI325"/>
  <c r="AI326"/>
  <c r="AI327"/>
  <c r="AI328"/>
  <c r="AI329"/>
  <c r="AI330"/>
  <c r="AI331"/>
  <c r="AI332"/>
  <c r="AI333"/>
  <c r="AI334"/>
  <c r="AI335"/>
  <c r="AI336"/>
  <c r="AI337"/>
  <c r="AI338"/>
  <c r="AI339"/>
  <c r="AI340"/>
  <c r="AI341"/>
  <c r="AI342"/>
  <c r="AI343"/>
  <c r="AI344"/>
  <c r="AI345"/>
  <c r="AI346"/>
  <c r="AI347"/>
  <c r="AI348"/>
  <c r="AI349"/>
  <c r="AI350"/>
  <c r="AI351"/>
  <c r="AI352"/>
  <c r="AI353"/>
  <c r="AI354"/>
  <c r="AI355"/>
  <c r="AI356"/>
  <c r="AI357"/>
  <c r="AI358"/>
  <c r="AI359"/>
  <c r="AI360"/>
  <c r="AI361"/>
  <c r="AI362"/>
  <c r="AI363"/>
  <c r="AI364"/>
  <c r="AI365"/>
  <c r="AI366"/>
  <c r="AI367"/>
  <c r="AI368"/>
  <c r="AI369"/>
  <c r="AI370"/>
  <c r="AI371"/>
  <c r="AI372"/>
  <c r="AI373"/>
  <c r="AI374"/>
  <c r="AI375"/>
  <c r="AI376"/>
  <c r="AI377"/>
  <c r="AI378"/>
  <c r="AI379"/>
  <c r="AI380"/>
  <c r="AI381"/>
  <c r="AI382"/>
  <c r="AI383"/>
  <c r="AI384"/>
  <c r="AI385"/>
  <c r="AI386"/>
  <c r="AI387"/>
  <c r="AI388"/>
  <c r="AI389"/>
  <c r="AI390"/>
  <c r="AI391"/>
  <c r="AI392"/>
  <c r="AI393"/>
  <c r="AI394"/>
  <c r="AI395"/>
  <c r="AI396"/>
  <c r="AI397"/>
  <c r="AI398"/>
  <c r="AI399"/>
  <c r="AI400"/>
  <c r="AI401"/>
  <c r="AI402"/>
  <c r="AI403"/>
  <c r="AI404"/>
  <c r="AI405"/>
  <c r="AI406"/>
  <c r="AI407"/>
  <c r="AI408"/>
  <c r="AI409"/>
  <c r="AI410"/>
  <c r="AI411"/>
  <c r="AI412"/>
  <c r="AI413"/>
  <c r="AI414"/>
  <c r="AI415"/>
  <c r="AI416"/>
  <c r="AI417"/>
  <c r="AI418"/>
  <c r="AI419"/>
  <c r="AI420"/>
  <c r="AI421"/>
  <c r="AI422"/>
  <c r="AI423"/>
  <c r="AI424"/>
  <c r="AI425"/>
  <c r="AI426"/>
  <c r="AI427"/>
  <c r="AI428"/>
  <c r="AI429"/>
  <c r="AI430"/>
  <c r="AI431"/>
  <c r="AI432"/>
  <c r="AI433"/>
  <c r="AI434"/>
  <c r="AI435"/>
  <c r="AI436"/>
  <c r="AI437"/>
  <c r="AI438"/>
  <c r="AI439"/>
  <c r="AI440"/>
  <c r="AI441"/>
  <c r="AI442"/>
  <c r="AI443"/>
  <c r="AI444"/>
  <c r="AI445"/>
  <c r="AI446"/>
  <c r="AI447"/>
  <c r="AI448"/>
  <c r="AI449"/>
  <c r="AI450"/>
  <c r="AI451"/>
  <c r="AI452"/>
  <c r="AI453"/>
  <c r="AI454"/>
  <c r="AI455"/>
  <c r="AI456"/>
  <c r="AI457"/>
  <c r="AI458"/>
  <c r="AI459"/>
  <c r="AI460"/>
  <c r="AI461"/>
  <c r="AI462"/>
  <c r="AK5"/>
  <c r="AK6"/>
  <c r="AK7"/>
  <c r="AK10"/>
  <c r="AK11"/>
  <c r="AK14"/>
  <c r="AK15"/>
  <c r="AK17"/>
  <c r="AK18"/>
  <c r="AK19"/>
  <c r="AK21"/>
  <c r="AK22"/>
  <c r="AK23"/>
  <c r="AK26"/>
  <c r="AK27"/>
  <c r="AK30"/>
  <c r="AK31"/>
  <c r="AK33"/>
  <c r="AK34"/>
  <c r="AK35"/>
  <c r="AK37"/>
  <c r="AK38"/>
  <c r="AK39"/>
  <c r="AK42"/>
  <c r="AK43"/>
  <c r="AK46"/>
  <c r="AK47"/>
  <c r="AK49"/>
  <c r="AK50"/>
  <c r="AK51"/>
  <c r="AK53"/>
  <c r="AK54"/>
  <c r="AK55"/>
  <c r="AK58"/>
  <c r="AK59"/>
  <c r="AK62"/>
  <c r="AK63"/>
  <c r="AK65"/>
  <c r="AK66"/>
  <c r="AK67"/>
  <c r="AK69"/>
  <c r="AK70"/>
  <c r="AK71"/>
  <c r="AK74"/>
  <c r="AK75"/>
  <c r="AK78"/>
  <c r="AK79"/>
  <c r="AK81"/>
  <c r="AK82"/>
  <c r="AK83"/>
  <c r="AK85"/>
  <c r="AK86"/>
  <c r="AK87"/>
  <c r="AK90"/>
  <c r="AK91"/>
  <c r="AK94"/>
  <c r="AK95"/>
  <c r="AK97"/>
  <c r="AK98"/>
  <c r="AK99"/>
  <c r="AK101"/>
  <c r="AK102"/>
  <c r="AK103"/>
  <c r="AK106"/>
  <c r="AK107"/>
  <c r="AK110"/>
  <c r="AK111"/>
  <c r="AK113"/>
  <c r="AK114"/>
  <c r="AK115"/>
  <c r="AK117"/>
  <c r="AK118"/>
  <c r="AK119"/>
  <c r="AK122"/>
  <c r="AK123"/>
  <c r="AK126"/>
  <c r="AK127"/>
  <c r="AK129"/>
  <c r="AK130"/>
  <c r="AK131"/>
  <c r="AK133"/>
  <c r="AK134"/>
  <c r="AK135"/>
  <c r="AK138"/>
  <c r="AK139"/>
  <c r="AK142"/>
  <c r="AK143"/>
  <c r="AK145"/>
  <c r="AK146"/>
  <c r="AK147"/>
  <c r="AK149"/>
  <c r="AK150"/>
  <c r="AK151"/>
  <c r="AK154"/>
  <c r="AK155"/>
  <c r="AK158"/>
  <c r="AK159"/>
  <c r="AK161"/>
  <c r="AK162"/>
  <c r="AK163"/>
  <c r="AK165"/>
  <c r="AK166"/>
  <c r="AK167"/>
  <c r="AK170"/>
  <c r="AK171"/>
  <c r="AK174"/>
  <c r="AK175"/>
  <c r="AK177"/>
  <c r="AK178"/>
  <c r="AK179"/>
  <c r="AK181"/>
  <c r="AK182"/>
  <c r="AK183"/>
  <c r="AK186"/>
  <c r="AK187"/>
  <c r="AK190"/>
  <c r="AK191"/>
  <c r="AK193"/>
  <c r="AK194"/>
  <c r="AK195"/>
  <c r="AK197"/>
  <c r="AK198"/>
  <c r="AK199"/>
  <c r="AK202"/>
  <c r="AK203"/>
  <c r="AK206"/>
  <c r="AK207"/>
  <c r="AK209"/>
  <c r="AK210"/>
  <c r="AK211"/>
  <c r="AK213"/>
  <c r="AK214"/>
  <c r="AK215"/>
  <c r="AK218"/>
  <c r="AK219"/>
  <c r="AK222"/>
  <c r="AK223"/>
  <c r="AK225"/>
  <c r="AK226"/>
  <c r="AK227"/>
  <c r="AK229"/>
  <c r="AK230"/>
  <c r="AK231"/>
  <c r="AK234"/>
  <c r="AK235"/>
  <c r="AK238"/>
  <c r="AK239"/>
  <c r="AK241"/>
  <c r="AK242"/>
  <c r="AK243"/>
  <c r="AK245"/>
  <c r="AK246"/>
  <c r="AK247"/>
  <c r="AK250"/>
  <c r="AK251"/>
  <c r="AK254"/>
  <c r="AK255"/>
  <c r="AK257"/>
  <c r="AK258"/>
  <c r="AK259"/>
  <c r="AK261"/>
  <c r="AK262"/>
  <c r="AK263"/>
  <c r="AK266"/>
  <c r="AK267"/>
  <c r="AK270"/>
  <c r="AK271"/>
  <c r="AK273"/>
  <c r="AK274"/>
  <c r="AK275"/>
  <c r="AK277"/>
  <c r="AK278"/>
  <c r="AK279"/>
  <c r="AK282"/>
  <c r="AK283"/>
  <c r="AK286"/>
  <c r="AK287"/>
  <c r="AK289"/>
  <c r="AK290"/>
  <c r="AK291"/>
  <c r="AK293"/>
  <c r="AK294"/>
  <c r="AK295"/>
  <c r="AK298"/>
  <c r="AK299"/>
  <c r="AK302"/>
  <c r="AK303"/>
  <c r="AK305"/>
  <c r="AK306"/>
  <c r="AK307"/>
  <c r="AK309"/>
  <c r="AK310"/>
  <c r="AK311"/>
  <c r="AK314"/>
  <c r="AK315"/>
  <c r="AK318"/>
  <c r="AK319"/>
  <c r="AK321"/>
  <c r="AK322"/>
  <c r="AK323"/>
  <c r="AK325"/>
  <c r="AK326"/>
  <c r="AK327"/>
  <c r="AK330"/>
  <c r="AK331"/>
  <c r="AK334"/>
  <c r="AK335"/>
  <c r="AK337"/>
  <c r="AK338"/>
  <c r="AK339"/>
  <c r="AK341"/>
  <c r="AK342"/>
  <c r="AK343"/>
  <c r="AK346"/>
  <c r="AK347"/>
  <c r="AK350"/>
  <c r="AK351"/>
  <c r="AK353"/>
  <c r="AK354"/>
  <c r="AK355"/>
  <c r="AK357"/>
  <c r="AK358"/>
  <c r="AK359"/>
  <c r="AK362"/>
  <c r="AK363"/>
  <c r="AK366"/>
  <c r="AK367"/>
  <c r="AK369"/>
  <c r="AK370"/>
  <c r="AK371"/>
  <c r="AK373"/>
  <c r="AK374"/>
  <c r="AK375"/>
  <c r="AK378"/>
  <c r="AK379"/>
  <c r="AK382"/>
  <c r="AK383"/>
  <c r="AK385"/>
  <c r="AK386"/>
  <c r="AK387"/>
  <c r="AK389"/>
  <c r="AK390"/>
  <c r="AK391"/>
  <c r="AK394"/>
  <c r="AK395"/>
  <c r="AK398"/>
  <c r="AK399"/>
  <c r="AK401"/>
  <c r="AK402"/>
  <c r="AK403"/>
  <c r="AK405"/>
  <c r="AK406"/>
  <c r="AK407"/>
  <c r="AK410"/>
  <c r="AK411"/>
  <c r="AK414"/>
  <c r="AK415"/>
  <c r="AK417"/>
  <c r="AK418"/>
  <c r="AK419"/>
  <c r="AK421"/>
  <c r="AK422"/>
  <c r="AK423"/>
  <c r="AK426"/>
  <c r="AK427"/>
  <c r="AK430"/>
  <c r="AK431"/>
  <c r="AK433"/>
  <c r="AK434"/>
  <c r="AK435"/>
  <c r="AK437"/>
  <c r="AK438"/>
  <c r="AK439"/>
  <c r="AK442"/>
  <c r="AK443"/>
  <c r="AK446"/>
  <c r="AK447"/>
  <c r="AK449"/>
  <c r="AK450"/>
  <c r="AK451"/>
  <c r="AK453"/>
  <c r="AK455"/>
  <c r="AK460"/>
  <c r="AK461"/>
  <c r="AN4"/>
  <c r="AN8"/>
  <c r="AN9"/>
  <c r="AN12"/>
  <c r="AN16"/>
  <c r="AN20"/>
  <c r="AN24"/>
  <c r="AN28"/>
  <c r="AN32"/>
  <c r="AN36"/>
  <c r="AN40"/>
  <c r="AN41"/>
  <c r="AN44"/>
  <c r="AN48"/>
  <c r="AN52"/>
  <c r="AN56"/>
  <c r="AN60"/>
  <c r="AN64"/>
  <c r="AN68"/>
  <c r="AN72"/>
  <c r="AN73"/>
  <c r="AN76"/>
  <c r="AN80"/>
  <c r="AN84"/>
  <c r="AN88"/>
  <c r="AN92"/>
  <c r="AN104"/>
  <c r="AN108"/>
  <c r="AN112"/>
  <c r="AN116"/>
  <c r="AN120"/>
  <c r="AN124"/>
  <c r="AN128"/>
  <c r="AN132"/>
  <c r="AN136"/>
  <c r="AN140"/>
  <c r="AN144"/>
  <c r="AN148"/>
  <c r="AN152"/>
  <c r="AN156"/>
  <c r="AN160"/>
  <c r="AN164"/>
  <c r="AN168"/>
  <c r="AN172"/>
  <c r="AN176"/>
  <c r="AN180"/>
  <c r="AN184"/>
  <c r="AN188"/>
  <c r="AN192"/>
  <c r="AN196"/>
  <c r="AN200"/>
  <c r="AN204"/>
  <c r="AN208"/>
  <c r="AN212"/>
  <c r="AN216"/>
  <c r="AN220"/>
  <c r="AN224"/>
  <c r="AN228"/>
  <c r="AN232"/>
  <c r="AN236"/>
  <c r="AN240"/>
  <c r="AN244"/>
  <c r="AN248"/>
  <c r="AN252"/>
  <c r="AN256"/>
  <c r="AN260"/>
  <c r="AN264"/>
  <c r="AN268"/>
  <c r="AN272"/>
  <c r="AN276"/>
  <c r="AN280"/>
  <c r="AN284"/>
  <c r="AN288"/>
  <c r="AN292"/>
  <c r="AN296"/>
  <c r="AN300"/>
  <c r="AN304"/>
  <c r="AN308"/>
  <c r="AN312"/>
  <c r="AN316"/>
  <c r="AN320"/>
  <c r="AN324"/>
  <c r="AN328"/>
  <c r="AN332"/>
  <c r="AN336"/>
  <c r="AN340"/>
  <c r="AN344"/>
  <c r="AN348"/>
  <c r="AN352"/>
  <c r="AN360"/>
  <c r="AN364"/>
  <c r="AN368"/>
  <c r="AN376"/>
  <c r="AN380"/>
  <c r="AN384"/>
  <c r="AN392"/>
  <c r="AN393"/>
  <c r="AN396"/>
  <c r="AN400"/>
  <c r="AN408"/>
  <c r="AN412"/>
  <c r="AN416"/>
  <c r="AN421"/>
  <c r="AN424"/>
  <c r="AN428"/>
  <c r="AN432"/>
  <c r="AN440"/>
  <c r="AN444"/>
  <c r="AN448"/>
  <c r="AN456"/>
  <c r="AN457"/>
  <c r="AN460"/>
  <c r="AM16"/>
  <c r="AM40"/>
  <c r="AM64"/>
  <c r="AM88"/>
  <c r="AM89"/>
  <c r="AM112"/>
  <c r="AM136"/>
  <c r="AM137"/>
  <c r="AM153"/>
  <c r="AM184"/>
  <c r="AM185"/>
  <c r="AM201"/>
  <c r="AM224"/>
  <c r="AM249"/>
  <c r="AM272"/>
  <c r="AM296"/>
  <c r="AM320"/>
  <c r="AM344"/>
  <c r="AM345"/>
  <c r="AM368"/>
  <c r="AM392"/>
  <c r="AM393"/>
  <c r="AM409"/>
  <c r="AM440"/>
  <c r="AM441"/>
  <c r="AO10"/>
  <c r="AO18"/>
  <c r="AO26"/>
  <c r="AO34"/>
  <c r="AO42"/>
  <c r="AO50"/>
  <c r="AO58"/>
  <c r="AO66"/>
  <c r="AO74"/>
  <c r="AO82"/>
  <c r="AO90"/>
  <c r="AO98"/>
  <c r="AO106"/>
  <c r="AO114"/>
  <c r="AO122"/>
  <c r="AO130"/>
  <c r="AO138"/>
  <c r="AO146"/>
  <c r="AO154"/>
  <c r="AO162"/>
  <c r="AO170"/>
  <c r="AO178"/>
  <c r="AO183"/>
  <c r="AO185"/>
  <c r="AO186"/>
  <c r="AO187"/>
  <c r="AO190"/>
  <c r="AO191"/>
  <c r="AO197"/>
  <c r="AO198"/>
  <c r="AO199"/>
  <c r="AO202"/>
  <c r="AO203"/>
  <c r="AO207"/>
  <c r="AO214"/>
  <c r="AO215"/>
  <c r="AO219"/>
  <c r="AO223"/>
  <c r="AO225"/>
  <c r="AO226"/>
  <c r="AO231"/>
  <c r="AO235"/>
  <c r="AO237"/>
  <c r="AO238"/>
  <c r="AO239"/>
  <c r="AO242"/>
  <c r="AO247"/>
  <c r="AO249"/>
  <c r="AO250"/>
  <c r="AO251"/>
  <c r="AO254"/>
  <c r="AO255"/>
  <c r="AO261"/>
  <c r="AO262"/>
  <c r="AO263"/>
  <c r="AO266"/>
  <c r="AO267"/>
  <c r="AO271"/>
  <c r="AO278"/>
  <c r="AO279"/>
  <c r="AO283"/>
  <c r="AO287"/>
  <c r="AO289"/>
  <c r="AO290"/>
  <c r="AO295"/>
  <c r="AO299"/>
  <c r="AO301"/>
  <c r="AO302"/>
  <c r="AO303"/>
  <c r="AO306"/>
  <c r="AO311"/>
  <c r="AO313"/>
  <c r="AO314"/>
  <c r="AO315"/>
  <c r="AO318"/>
  <c r="AO319"/>
  <c r="AO325"/>
  <c r="AO326"/>
  <c r="AO327"/>
  <c r="AO330"/>
  <c r="AO331"/>
  <c r="AO335"/>
  <c r="AO342"/>
  <c r="AO343"/>
  <c r="AO347"/>
  <c r="AO351"/>
  <c r="AO353"/>
  <c r="AO354"/>
  <c r="AO359"/>
  <c r="AO363"/>
  <c r="AO365"/>
  <c r="AO366"/>
  <c r="AO367"/>
  <c r="AO370"/>
  <c r="AO375"/>
  <c r="AO377"/>
  <c r="AO378"/>
  <c r="AO379"/>
  <c r="AO382"/>
  <c r="AO383"/>
  <c r="AO389"/>
  <c r="AO390"/>
  <c r="AO391"/>
  <c r="AO394"/>
  <c r="AO395"/>
  <c r="AO399"/>
  <c r="AO406"/>
  <c r="AO407"/>
  <c r="AO411"/>
  <c r="AO415"/>
  <c r="AO417"/>
  <c r="AO418"/>
  <c r="AO423"/>
  <c r="AO427"/>
  <c r="AO429"/>
  <c r="AO430"/>
  <c r="AO431"/>
  <c r="AO434"/>
  <c r="AO439"/>
  <c r="AO441"/>
  <c r="AO442"/>
  <c r="AO443"/>
  <c r="AO446"/>
  <c r="AO447"/>
  <c r="AO453"/>
  <c r="AO454"/>
  <c r="AO455"/>
  <c r="AO458"/>
  <c r="AO459"/>
  <c r="AI3"/>
  <c r="AN5"/>
  <c r="AN37"/>
  <c r="AN69"/>
  <c r="AN388"/>
  <c r="AN404"/>
  <c r="AN420"/>
  <c r="AN436"/>
  <c r="AN452"/>
  <c r="AM12"/>
  <c r="AM36"/>
  <c r="AM37"/>
  <c r="AM53"/>
  <c r="AM84"/>
  <c r="AM85"/>
  <c r="AM101"/>
  <c r="AM124"/>
  <c r="AM149"/>
  <c r="AM172"/>
  <c r="AM196"/>
  <c r="AM220"/>
  <c r="AM244"/>
  <c r="AM245"/>
  <c r="AM268"/>
  <c r="AM292"/>
  <c r="AM293"/>
  <c r="AM309"/>
  <c r="AM340"/>
  <c r="AM341"/>
  <c r="AM357"/>
  <c r="AM380"/>
  <c r="AM405"/>
  <c r="AM428"/>
  <c r="AM452"/>
  <c r="AN15"/>
  <c r="AN18"/>
  <c r="AN23"/>
  <c r="AN30"/>
  <c r="AN34"/>
  <c r="AN47"/>
  <c r="AN50"/>
  <c r="AN55"/>
  <c r="AN62"/>
  <c r="AN66"/>
  <c r="AN79"/>
  <c r="AN82"/>
  <c r="AN87"/>
  <c r="AN105"/>
  <c r="AN106"/>
  <c r="AN113"/>
  <c r="AN114"/>
  <c r="AN119"/>
  <c r="AN121"/>
  <c r="AN122"/>
  <c r="AN127"/>
  <c r="AN131"/>
  <c r="AN137"/>
  <c r="AN138"/>
  <c r="AN145"/>
  <c r="AN146"/>
  <c r="AN151"/>
  <c r="AN153"/>
  <c r="AN154"/>
  <c r="AN159"/>
  <c r="AN163"/>
  <c r="AN169"/>
  <c r="AN170"/>
  <c r="AN177"/>
  <c r="AN178"/>
  <c r="AN183"/>
  <c r="AN185"/>
  <c r="AN186"/>
  <c r="AN191"/>
  <c r="AN195"/>
  <c r="AN201"/>
  <c r="AN202"/>
  <c r="AN209"/>
  <c r="AN210"/>
  <c r="AN215"/>
  <c r="AN217"/>
  <c r="AN218"/>
  <c r="AN223"/>
  <c r="AN227"/>
  <c r="AN233"/>
  <c r="AN234"/>
  <c r="AN241"/>
  <c r="AN242"/>
  <c r="AN247"/>
  <c r="AN249"/>
  <c r="AN250"/>
  <c r="AN255"/>
  <c r="AN259"/>
  <c r="AN265"/>
  <c r="AN266"/>
  <c r="AN273"/>
  <c r="AN274"/>
  <c r="AN279"/>
  <c r="AN281"/>
  <c r="AN282"/>
  <c r="AN287"/>
  <c r="AN291"/>
  <c r="AN297"/>
  <c r="AN298"/>
  <c r="AN305"/>
  <c r="AN306"/>
  <c r="AN311"/>
  <c r="AN313"/>
  <c r="AN314"/>
  <c r="AN319"/>
  <c r="AN323"/>
  <c r="AN329"/>
  <c r="AN330"/>
  <c r="AN337"/>
  <c r="AN338"/>
  <c r="AN343"/>
  <c r="AN345"/>
  <c r="AN346"/>
  <c r="AN351"/>
  <c r="AN355"/>
  <c r="AN365"/>
  <c r="AN366"/>
  <c r="AN379"/>
  <c r="AN382"/>
  <c r="AN387"/>
  <c r="AN390"/>
  <c r="AN395"/>
  <c r="AN401"/>
  <c r="AN402"/>
  <c r="AN414"/>
  <c r="AN419"/>
  <c r="AN422"/>
  <c r="AN427"/>
  <c r="AN434"/>
  <c r="AN438"/>
  <c r="AN449"/>
  <c r="AN450"/>
  <c r="AN451"/>
  <c r="AN459"/>
  <c r="Y4"/>
  <c r="Y5"/>
  <c r="Y6"/>
  <c r="Y7"/>
  <c r="Y8"/>
  <c r="Y9"/>
  <c r="Y10"/>
  <c r="Y11"/>
  <c r="Y12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4"/>
  <c r="Y35"/>
  <c r="Y36"/>
  <c r="Y37"/>
  <c r="Y38"/>
  <c r="Y39"/>
  <c r="Y40"/>
  <c r="Y41"/>
  <c r="Y42"/>
  <c r="Y43"/>
  <c r="Y44"/>
  <c r="Y45"/>
  <c r="Y46"/>
  <c r="Y47"/>
  <c r="Y48"/>
  <c r="Y49"/>
  <c r="Y50"/>
  <c r="Y51"/>
  <c r="Y52"/>
  <c r="Y53"/>
  <c r="Y54"/>
  <c r="Y55"/>
  <c r="Y56"/>
  <c r="Y57"/>
  <c r="Y58"/>
  <c r="Y59"/>
  <c r="Y60"/>
  <c r="Y61"/>
  <c r="Y62"/>
  <c r="Y63"/>
  <c r="Y64"/>
  <c r="Y65"/>
  <c r="Y66"/>
  <c r="Y67"/>
  <c r="Y68"/>
  <c r="Y69"/>
  <c r="Y70"/>
  <c r="Y71"/>
  <c r="Y72"/>
  <c r="Y73"/>
  <c r="Y74"/>
  <c r="Y75"/>
  <c r="Y76"/>
  <c r="Y77"/>
  <c r="Y78"/>
  <c r="Y79"/>
  <c r="Y80"/>
  <c r="Y81"/>
  <c r="Y82"/>
  <c r="Y83"/>
  <c r="Y84"/>
  <c r="Y85"/>
  <c r="Y86"/>
  <c r="Y87"/>
  <c r="Y88"/>
  <c r="Y89"/>
  <c r="Y90"/>
  <c r="Y91"/>
  <c r="Y92"/>
  <c r="Y93"/>
  <c r="Y94"/>
  <c r="AN94" s="1"/>
  <c r="Y95"/>
  <c r="Y96"/>
  <c r="Y97"/>
  <c r="Y98"/>
  <c r="AN98" s="1"/>
  <c r="Y99"/>
  <c r="Y100"/>
  <c r="Y101"/>
  <c r="Y102"/>
  <c r="AN102" s="1"/>
  <c r="Y103"/>
  <c r="Y104"/>
  <c r="Y105"/>
  <c r="Y106"/>
  <c r="Y107"/>
  <c r="Y108"/>
  <c r="Y109"/>
  <c r="Y110"/>
  <c r="Y111"/>
  <c r="Y112"/>
  <c r="Y113"/>
  <c r="Y114"/>
  <c r="Y115"/>
  <c r="Y116"/>
  <c r="Y117"/>
  <c r="Y118"/>
  <c r="Y119"/>
  <c r="Y120"/>
  <c r="Y121"/>
  <c r="Y122"/>
  <c r="Y123"/>
  <c r="Y124"/>
  <c r="Y125"/>
  <c r="Y126"/>
  <c r="Y127"/>
  <c r="Y128"/>
  <c r="Y129"/>
  <c r="Y130"/>
  <c r="Y131"/>
  <c r="Y132"/>
  <c r="Y133"/>
  <c r="Y134"/>
  <c r="Y135"/>
  <c r="Y136"/>
  <c r="Y137"/>
  <c r="Y138"/>
  <c r="Y139"/>
  <c r="Y140"/>
  <c r="Y141"/>
  <c r="Y142"/>
  <c r="Y143"/>
  <c r="Y144"/>
  <c r="Y145"/>
  <c r="Y146"/>
  <c r="Y147"/>
  <c r="Y148"/>
  <c r="Y149"/>
  <c r="Y150"/>
  <c r="Y151"/>
  <c r="Y152"/>
  <c r="Y153"/>
  <c r="Y154"/>
  <c r="Y155"/>
  <c r="Y156"/>
  <c r="Y157"/>
  <c r="Y158"/>
  <c r="Y159"/>
  <c r="Y160"/>
  <c r="Y161"/>
  <c r="Y162"/>
  <c r="Y163"/>
  <c r="Y164"/>
  <c r="Y165"/>
  <c r="Y166"/>
  <c r="Y167"/>
  <c r="Y168"/>
  <c r="Y169"/>
  <c r="Y170"/>
  <c r="Y171"/>
  <c r="Y172"/>
  <c r="Y173"/>
  <c r="Y174"/>
  <c r="Y175"/>
  <c r="Y176"/>
  <c r="Y177"/>
  <c r="Y178"/>
  <c r="Y179"/>
  <c r="Y180"/>
  <c r="Y181"/>
  <c r="Y182"/>
  <c r="Y183"/>
  <c r="Y184"/>
  <c r="Y185"/>
  <c r="Y186"/>
  <c r="Y187"/>
  <c r="Y188"/>
  <c r="Y189"/>
  <c r="Y190"/>
  <c r="Y191"/>
  <c r="Y192"/>
  <c r="Y193"/>
  <c r="Y194"/>
  <c r="Y195"/>
  <c r="Y196"/>
  <c r="Y197"/>
  <c r="Y198"/>
  <c r="Y199"/>
  <c r="Y200"/>
  <c r="Y201"/>
  <c r="Y202"/>
  <c r="Y203"/>
  <c r="Y204"/>
  <c r="Y205"/>
  <c r="Y206"/>
  <c r="Y207"/>
  <c r="Y208"/>
  <c r="Y209"/>
  <c r="Y210"/>
  <c r="Y211"/>
  <c r="Y212"/>
  <c r="Y213"/>
  <c r="Y214"/>
  <c r="Y215"/>
  <c r="Y216"/>
  <c r="Y217"/>
  <c r="Y218"/>
  <c r="Y219"/>
  <c r="Y220"/>
  <c r="Y221"/>
  <c r="Y222"/>
  <c r="Y223"/>
  <c r="Y224"/>
  <c r="Y225"/>
  <c r="Y226"/>
  <c r="Y227"/>
  <c r="Y228"/>
  <c r="Y229"/>
  <c r="Y230"/>
  <c r="Y231"/>
  <c r="Y232"/>
  <c r="Y233"/>
  <c r="Y234"/>
  <c r="Y235"/>
  <c r="Y236"/>
  <c r="Y237"/>
  <c r="Y238"/>
  <c r="Y239"/>
  <c r="Y240"/>
  <c r="Y241"/>
  <c r="Y242"/>
  <c r="Y243"/>
  <c r="Y244"/>
  <c r="Y245"/>
  <c r="Y246"/>
  <c r="Y247"/>
  <c r="Y248"/>
  <c r="Y249"/>
  <c r="Y250"/>
  <c r="Y251"/>
  <c r="Y252"/>
  <c r="Y253"/>
  <c r="Y254"/>
  <c r="Y255"/>
  <c r="Y256"/>
  <c r="Y257"/>
  <c r="Y258"/>
  <c r="Y259"/>
  <c r="Y260"/>
  <c r="Y261"/>
  <c r="Y262"/>
  <c r="Y263"/>
  <c r="Y264"/>
  <c r="Y265"/>
  <c r="Y266"/>
  <c r="Y267"/>
  <c r="Y268"/>
  <c r="Y269"/>
  <c r="Y270"/>
  <c r="Y271"/>
  <c r="Y272"/>
  <c r="Y273"/>
  <c r="Y274"/>
  <c r="Y275"/>
  <c r="Y276"/>
  <c r="Y277"/>
  <c r="Y278"/>
  <c r="Y279"/>
  <c r="Y280"/>
  <c r="Y281"/>
  <c r="Y282"/>
  <c r="Y283"/>
  <c r="Y284"/>
  <c r="Y285"/>
  <c r="Y286"/>
  <c r="Y287"/>
  <c r="Y288"/>
  <c r="Y289"/>
  <c r="Y290"/>
  <c r="Y291"/>
  <c r="Y292"/>
  <c r="Y293"/>
  <c r="Y294"/>
  <c r="Y295"/>
  <c r="Y296"/>
  <c r="Y297"/>
  <c r="Y298"/>
  <c r="Y299"/>
  <c r="Y300"/>
  <c r="Y301"/>
  <c r="Y302"/>
  <c r="Y303"/>
  <c r="Y304"/>
  <c r="Y305"/>
  <c r="Y306"/>
  <c r="Y307"/>
  <c r="Y308"/>
  <c r="Y309"/>
  <c r="Y310"/>
  <c r="Y311"/>
  <c r="Y312"/>
  <c r="Y313"/>
  <c r="Y314"/>
  <c r="Y315"/>
  <c r="Y316"/>
  <c r="Y317"/>
  <c r="Y318"/>
  <c r="Y319"/>
  <c r="Y320"/>
  <c r="Y321"/>
  <c r="Y322"/>
  <c r="Y323"/>
  <c r="Y324"/>
  <c r="Y325"/>
  <c r="Y326"/>
  <c r="Y327"/>
  <c r="Y328"/>
  <c r="Y329"/>
  <c r="Y330"/>
  <c r="Y331"/>
  <c r="Y332"/>
  <c r="Y333"/>
  <c r="Y334"/>
  <c r="Y335"/>
  <c r="Y336"/>
  <c r="Y337"/>
  <c r="Y338"/>
  <c r="Y339"/>
  <c r="Y340"/>
  <c r="Y341"/>
  <c r="Y342"/>
  <c r="Y343"/>
  <c r="Y344"/>
  <c r="Y345"/>
  <c r="Y346"/>
  <c r="Y347"/>
  <c r="Y348"/>
  <c r="Y349"/>
  <c r="Y350"/>
  <c r="Y351"/>
  <c r="Y352"/>
  <c r="Y353"/>
  <c r="Y354"/>
  <c r="Y355"/>
  <c r="Y356"/>
  <c r="Y357"/>
  <c r="Y358"/>
  <c r="AN358" s="1"/>
  <c r="Y359"/>
  <c r="Y360"/>
  <c r="Y361"/>
  <c r="Y362"/>
  <c r="Y363"/>
  <c r="Y364"/>
  <c r="Y365"/>
  <c r="Y366"/>
  <c r="Y367"/>
  <c r="Y368"/>
  <c r="Y369"/>
  <c r="Y370"/>
  <c r="Y371"/>
  <c r="Y372"/>
  <c r="Y373"/>
  <c r="Y374"/>
  <c r="AN374" s="1"/>
  <c r="Y375"/>
  <c r="Y376"/>
  <c r="Y377"/>
  <c r="Y378"/>
  <c r="AN378" s="1"/>
  <c r="Y379"/>
  <c r="Y380"/>
  <c r="Y381"/>
  <c r="Y382"/>
  <c r="Y383"/>
  <c r="Y384"/>
  <c r="Y385"/>
  <c r="Y386"/>
  <c r="Y387"/>
  <c r="Y388"/>
  <c r="Y389"/>
  <c r="Y390"/>
  <c r="Y391"/>
  <c r="Y392"/>
  <c r="Y393"/>
  <c r="Y394"/>
  <c r="Y395"/>
  <c r="Y396"/>
  <c r="Y397"/>
  <c r="Y398"/>
  <c r="Y399"/>
  <c r="Y400"/>
  <c r="Y401"/>
  <c r="Y402"/>
  <c r="Y403"/>
  <c r="Y404"/>
  <c r="Y405"/>
  <c r="Y406"/>
  <c r="Y407"/>
  <c r="Y408"/>
  <c r="Y409"/>
  <c r="Y410"/>
  <c r="Y411"/>
  <c r="Y412"/>
  <c r="Y413"/>
  <c r="Y414"/>
  <c r="Y415"/>
  <c r="Y416"/>
  <c r="Y417"/>
  <c r="Y418"/>
  <c r="Y419"/>
  <c r="Y420"/>
  <c r="Y421"/>
  <c r="Y422"/>
  <c r="Y423"/>
  <c r="Y424"/>
  <c r="Y425"/>
  <c r="Y426"/>
  <c r="Y427"/>
  <c r="Y428"/>
  <c r="Y429"/>
  <c r="Y430"/>
  <c r="Y431"/>
  <c r="Y432"/>
  <c r="Y433"/>
  <c r="Y434"/>
  <c r="Y435"/>
  <c r="Y436"/>
  <c r="Y437"/>
  <c r="Y438"/>
  <c r="Y439"/>
  <c r="Y440"/>
  <c r="Y441"/>
  <c r="Y442"/>
  <c r="Y443"/>
  <c r="Y444"/>
  <c r="Y445"/>
  <c r="Y446"/>
  <c r="Y447"/>
  <c r="Y448"/>
  <c r="Y449"/>
  <c r="Y450"/>
  <c r="Y451"/>
  <c r="Y452"/>
  <c r="Y453"/>
  <c r="Y454"/>
  <c r="Y455"/>
  <c r="Y456"/>
  <c r="Y457"/>
  <c r="Y458"/>
  <c r="Y459"/>
  <c r="Y460"/>
  <c r="Y461"/>
  <c r="Y462"/>
  <c r="Y3"/>
  <c r="AM7"/>
  <c r="AM10"/>
  <c r="AM11"/>
  <c r="AM15"/>
  <c r="AM18"/>
  <c r="AM19"/>
  <c r="AM23"/>
  <c r="AM26"/>
  <c r="AM27"/>
  <c r="AM31"/>
  <c r="AM34"/>
  <c r="AM35"/>
  <c r="AM39"/>
  <c r="AM42"/>
  <c r="AM43"/>
  <c r="AM47"/>
  <c r="AM50"/>
  <c r="AM51"/>
  <c r="AM55"/>
  <c r="AM58"/>
  <c r="AM59"/>
  <c r="AM63"/>
  <c r="AM66"/>
  <c r="AM67"/>
  <c r="AM71"/>
  <c r="AM74"/>
  <c r="AM75"/>
  <c r="AM79"/>
  <c r="AM82"/>
  <c r="AM83"/>
  <c r="AM87"/>
  <c r="AM90"/>
  <c r="AM91"/>
  <c r="AM95"/>
  <c r="AM98"/>
  <c r="AM99"/>
  <c r="AM103"/>
  <c r="AM106"/>
  <c r="AM107"/>
  <c r="AM111"/>
  <c r="AM114"/>
  <c r="AM115"/>
  <c r="AM119"/>
  <c r="AM122"/>
  <c r="AM123"/>
  <c r="AM127"/>
  <c r="AM130"/>
  <c r="AM131"/>
  <c r="AM135"/>
  <c r="AM138"/>
  <c r="AM139"/>
  <c r="AM143"/>
  <c r="AM146"/>
  <c r="AM147"/>
  <c r="AM151"/>
  <c r="AM154"/>
  <c r="AM155"/>
  <c r="AM159"/>
  <c r="AM162"/>
  <c r="AM163"/>
  <c r="AM167"/>
  <c r="AM170"/>
  <c r="AM171"/>
  <c r="AM175"/>
  <c r="AM178"/>
  <c r="AM179"/>
  <c r="AM183"/>
  <c r="AM186"/>
  <c r="AM187"/>
  <c r="AM191"/>
  <c r="AM194"/>
  <c r="AM195"/>
  <c r="AM199"/>
  <c r="AM202"/>
  <c r="AM203"/>
  <c r="AM207"/>
  <c r="AM210"/>
  <c r="AM211"/>
  <c r="AM215"/>
  <c r="AM218"/>
  <c r="AM219"/>
  <c r="AM223"/>
  <c r="AM226"/>
  <c r="AM227"/>
  <c r="AM231"/>
  <c r="AM234"/>
  <c r="AM235"/>
  <c r="AM239"/>
  <c r="AM242"/>
  <c r="AM243"/>
  <c r="AM247"/>
  <c r="AM250"/>
  <c r="AM251"/>
  <c r="AM255"/>
  <c r="AM258"/>
  <c r="AM259"/>
  <c r="AM263"/>
  <c r="AM266"/>
  <c r="AM267"/>
  <c r="AM271"/>
  <c r="AM274"/>
  <c r="AM275"/>
  <c r="AM279"/>
  <c r="AM282"/>
  <c r="AM283"/>
  <c r="AM287"/>
  <c r="AM290"/>
  <c r="AM291"/>
  <c r="AM295"/>
  <c r="AM298"/>
  <c r="AM299"/>
  <c r="AM303"/>
  <c r="AM306"/>
  <c r="AM307"/>
  <c r="AM311"/>
  <c r="AM314"/>
  <c r="AM315"/>
  <c r="AM319"/>
  <c r="AM322"/>
  <c r="AM323"/>
  <c r="AM327"/>
  <c r="AM330"/>
  <c r="AM331"/>
  <c r="AM335"/>
  <c r="AM338"/>
  <c r="AM339"/>
  <c r="AM343"/>
  <c r="AM346"/>
  <c r="AM347"/>
  <c r="AM351"/>
  <c r="AM354"/>
  <c r="AM355"/>
  <c r="AM359"/>
  <c r="AM362"/>
  <c r="AM363"/>
  <c r="AM367"/>
  <c r="AM370"/>
  <c r="AM371"/>
  <c r="AM375"/>
  <c r="AM378"/>
  <c r="AM379"/>
  <c r="AM383"/>
  <c r="AM386"/>
  <c r="AM387"/>
  <c r="AM391"/>
  <c r="AM394"/>
  <c r="AM395"/>
  <c r="AM399"/>
  <c r="AM402"/>
  <c r="AM403"/>
  <c r="AM407"/>
  <c r="AM410"/>
  <c r="AM411"/>
  <c r="AM415"/>
  <c r="AM418"/>
  <c r="AM419"/>
  <c r="AM423"/>
  <c r="AM426"/>
  <c r="AM427"/>
  <c r="AM431"/>
  <c r="AM434"/>
  <c r="AM435"/>
  <c r="AM439"/>
  <c r="AM442"/>
  <c r="AM443"/>
  <c r="AM447"/>
  <c r="AM450"/>
  <c r="AM451"/>
  <c r="AM455"/>
  <c r="AM458"/>
  <c r="AM459"/>
  <c r="AA4"/>
  <c r="AA5"/>
  <c r="AA6"/>
  <c r="AA7"/>
  <c r="AA8"/>
  <c r="AA9"/>
  <c r="AA10"/>
  <c r="AA11"/>
  <c r="AA12"/>
  <c r="AA13"/>
  <c r="AA14"/>
  <c r="AA15"/>
  <c r="AA16"/>
  <c r="AA17"/>
  <c r="AA18"/>
  <c r="AA19"/>
  <c r="AA20"/>
  <c r="AA21"/>
  <c r="AA22"/>
  <c r="AA23"/>
  <c r="AA24"/>
  <c r="AA25"/>
  <c r="AA26"/>
  <c r="AA27"/>
  <c r="AA28"/>
  <c r="AA29"/>
  <c r="AA30"/>
  <c r="AA31"/>
  <c r="AA32"/>
  <c r="AA33"/>
  <c r="AA34"/>
  <c r="AA35"/>
  <c r="AA36"/>
  <c r="AA37"/>
  <c r="AA38"/>
  <c r="AA39"/>
  <c r="AA40"/>
  <c r="AA41"/>
  <c r="AA42"/>
  <c r="AA43"/>
  <c r="AA44"/>
  <c r="AA45"/>
  <c r="AA46"/>
  <c r="AA47"/>
  <c r="AA48"/>
  <c r="AA49"/>
  <c r="AA50"/>
  <c r="AA51"/>
  <c r="AA52"/>
  <c r="AA53"/>
  <c r="AA54"/>
  <c r="AA55"/>
  <c r="AA56"/>
  <c r="AA57"/>
  <c r="AA58"/>
  <c r="AA59"/>
  <c r="AA60"/>
  <c r="AA61"/>
  <c r="AA62"/>
  <c r="AA63"/>
  <c r="AA64"/>
  <c r="AA65"/>
  <c r="AA66"/>
  <c r="AA67"/>
  <c r="AA68"/>
  <c r="AA69"/>
  <c r="AA70"/>
  <c r="AA71"/>
  <c r="AA72"/>
  <c r="AA73"/>
  <c r="AA74"/>
  <c r="AA75"/>
  <c r="AA76"/>
  <c r="AA77"/>
  <c r="AA78"/>
  <c r="AA79"/>
  <c r="AA80"/>
  <c r="AA81"/>
  <c r="AA82"/>
  <c r="AA83"/>
  <c r="AA84"/>
  <c r="AA85"/>
  <c r="AA86"/>
  <c r="AA87"/>
  <c r="AA88"/>
  <c r="AA89"/>
  <c r="AA90"/>
  <c r="AA91"/>
  <c r="AA92"/>
  <c r="AA93"/>
  <c r="AA94"/>
  <c r="AA95"/>
  <c r="AA96"/>
  <c r="AA97"/>
  <c r="AA98"/>
  <c r="AA99"/>
  <c r="AA100"/>
  <c r="AA101"/>
  <c r="AA102"/>
  <c r="AA103"/>
  <c r="AA104"/>
  <c r="AA105"/>
  <c r="AA106"/>
  <c r="AA107"/>
  <c r="AA108"/>
  <c r="AA109"/>
  <c r="AA110"/>
  <c r="AA111"/>
  <c r="AA112"/>
  <c r="AA113"/>
  <c r="AA114"/>
  <c r="AA115"/>
  <c r="AA116"/>
  <c r="AA117"/>
  <c r="AA118"/>
  <c r="AA119"/>
  <c r="AA120"/>
  <c r="AA121"/>
  <c r="AA122"/>
  <c r="AA123"/>
  <c r="AA124"/>
  <c r="AA125"/>
  <c r="AA126"/>
  <c r="AA127"/>
  <c r="AA128"/>
  <c r="AA129"/>
  <c r="AA130"/>
  <c r="AA131"/>
  <c r="AA132"/>
  <c r="AA133"/>
  <c r="AA134"/>
  <c r="AA135"/>
  <c r="AA136"/>
  <c r="AA137"/>
  <c r="AA138"/>
  <c r="AA139"/>
  <c r="AA140"/>
  <c r="AA141"/>
  <c r="AA142"/>
  <c r="AA143"/>
  <c r="AA144"/>
  <c r="AA145"/>
  <c r="AA146"/>
  <c r="AA147"/>
  <c r="AA148"/>
  <c r="AA149"/>
  <c r="AA150"/>
  <c r="AA151"/>
  <c r="AA152"/>
  <c r="AA153"/>
  <c r="AA154"/>
  <c r="AA155"/>
  <c r="AA156"/>
  <c r="AA157"/>
  <c r="AA158"/>
  <c r="AA159"/>
  <c r="AA160"/>
  <c r="AA161"/>
  <c r="AA162"/>
  <c r="AA163"/>
  <c r="AA164"/>
  <c r="AA165"/>
  <c r="AA166"/>
  <c r="AA167"/>
  <c r="AA168"/>
  <c r="AA169"/>
  <c r="AA170"/>
  <c r="AA171"/>
  <c r="AA172"/>
  <c r="AA173"/>
  <c r="AA174"/>
  <c r="AA175"/>
  <c r="AA176"/>
  <c r="AA177"/>
  <c r="AA178"/>
  <c r="AA179"/>
  <c r="AA180"/>
  <c r="AA181"/>
  <c r="AA182"/>
  <c r="AA183"/>
  <c r="AA184"/>
  <c r="AA185"/>
  <c r="AA186"/>
  <c r="AA187"/>
  <c r="AA188"/>
  <c r="AA189"/>
  <c r="AA190"/>
  <c r="AA191"/>
  <c r="AA192"/>
  <c r="AA193"/>
  <c r="AA194"/>
  <c r="AA195"/>
  <c r="AA196"/>
  <c r="AA197"/>
  <c r="AA198"/>
  <c r="AA199"/>
  <c r="AA200"/>
  <c r="AA201"/>
  <c r="AA202"/>
  <c r="AA203"/>
  <c r="AA204"/>
  <c r="AA205"/>
  <c r="AA206"/>
  <c r="AA207"/>
  <c r="AA208"/>
  <c r="AA209"/>
  <c r="AA210"/>
  <c r="AA211"/>
  <c r="AA212"/>
  <c r="AA213"/>
  <c r="AA214"/>
  <c r="AA215"/>
  <c r="AA216"/>
  <c r="AA217"/>
  <c r="AA218"/>
  <c r="AA219"/>
  <c r="AA220"/>
  <c r="AA221"/>
  <c r="AA222"/>
  <c r="AA223"/>
  <c r="AA224"/>
  <c r="AA225"/>
  <c r="AA226"/>
  <c r="AA227"/>
  <c r="AA228"/>
  <c r="AA229"/>
  <c r="AA230"/>
  <c r="AA231"/>
  <c r="AA232"/>
  <c r="AA233"/>
  <c r="AA234"/>
  <c r="AA235"/>
  <c r="AA236"/>
  <c r="AA237"/>
  <c r="AA238"/>
  <c r="AA239"/>
  <c r="AA240"/>
  <c r="AA241"/>
  <c r="AA242"/>
  <c r="AA243"/>
  <c r="AA244"/>
  <c r="AA245"/>
  <c r="AA246"/>
  <c r="AA247"/>
  <c r="AA248"/>
  <c r="AA249"/>
  <c r="AA250"/>
  <c r="AA251"/>
  <c r="AA252"/>
  <c r="AA253"/>
  <c r="AA254"/>
  <c r="AA255"/>
  <c r="AA256"/>
  <c r="AA257"/>
  <c r="AA258"/>
  <c r="AA259"/>
  <c r="AA260"/>
  <c r="AA261"/>
  <c r="AA262"/>
  <c r="AA263"/>
  <c r="AA264"/>
  <c r="AA265"/>
  <c r="AA266"/>
  <c r="AA267"/>
  <c r="AA268"/>
  <c r="AA269"/>
  <c r="AA270"/>
  <c r="AA271"/>
  <c r="AA272"/>
  <c r="AA273"/>
  <c r="AA274"/>
  <c r="AA275"/>
  <c r="AA276"/>
  <c r="AA277"/>
  <c r="AA278"/>
  <c r="AA279"/>
  <c r="AA280"/>
  <c r="AA281"/>
  <c r="AA282"/>
  <c r="AA283"/>
  <c r="AA284"/>
  <c r="AA285"/>
  <c r="AA286"/>
  <c r="AA287"/>
  <c r="AA288"/>
  <c r="AA289"/>
  <c r="AA290"/>
  <c r="AA291"/>
  <c r="AA292"/>
  <c r="AA293"/>
  <c r="AA294"/>
  <c r="AA295"/>
  <c r="AA296"/>
  <c r="AA297"/>
  <c r="AA298"/>
  <c r="AA299"/>
  <c r="AA300"/>
  <c r="AA301"/>
  <c r="AA302"/>
  <c r="AA303"/>
  <c r="AA304"/>
  <c r="AA305"/>
  <c r="AA306"/>
  <c r="AA307"/>
  <c r="AA308"/>
  <c r="AA309"/>
  <c r="AA310"/>
  <c r="AA311"/>
  <c r="AA312"/>
  <c r="AA313"/>
  <c r="AA314"/>
  <c r="AA315"/>
  <c r="AA316"/>
  <c r="AA317"/>
  <c r="AA318"/>
  <c r="AA319"/>
  <c r="AA320"/>
  <c r="AA321"/>
  <c r="AA322"/>
  <c r="AA323"/>
  <c r="AA324"/>
  <c r="AA325"/>
  <c r="AA326"/>
  <c r="AA327"/>
  <c r="AA328"/>
  <c r="AA329"/>
  <c r="AA330"/>
  <c r="AA331"/>
  <c r="AA332"/>
  <c r="AA333"/>
  <c r="AA334"/>
  <c r="AA335"/>
  <c r="AA336"/>
  <c r="AA337"/>
  <c r="AA338"/>
  <c r="AA339"/>
  <c r="AA340"/>
  <c r="AA341"/>
  <c r="AA342"/>
  <c r="AA343"/>
  <c r="AA344"/>
  <c r="AA345"/>
  <c r="AA346"/>
  <c r="AA347"/>
  <c r="AA348"/>
  <c r="AA349"/>
  <c r="AA350"/>
  <c r="AA351"/>
  <c r="AA352"/>
  <c r="AA353"/>
  <c r="AA354"/>
  <c r="AA355"/>
  <c r="AA356"/>
  <c r="AA357"/>
  <c r="AA358"/>
  <c r="AA359"/>
  <c r="AA360"/>
  <c r="AA361"/>
  <c r="AA362"/>
  <c r="AA363"/>
  <c r="AA364"/>
  <c r="AA365"/>
  <c r="AA366"/>
  <c r="AA367"/>
  <c r="AA368"/>
  <c r="AA369"/>
  <c r="AA370"/>
  <c r="AA371"/>
  <c r="AA372"/>
  <c r="AA373"/>
  <c r="AA374"/>
  <c r="AA375"/>
  <c r="AA376"/>
  <c r="AA377"/>
  <c r="AA378"/>
  <c r="AA379"/>
  <c r="AA380"/>
  <c r="AA381"/>
  <c r="AA382"/>
  <c r="AA383"/>
  <c r="AA384"/>
  <c r="AA385"/>
  <c r="AA386"/>
  <c r="AA387"/>
  <c r="AA388"/>
  <c r="AA389"/>
  <c r="AA390"/>
  <c r="AA391"/>
  <c r="AA392"/>
  <c r="AA393"/>
  <c r="AA394"/>
  <c r="AA395"/>
  <c r="AA396"/>
  <c r="AA397"/>
  <c r="AA398"/>
  <c r="AA399"/>
  <c r="AA400"/>
  <c r="AA401"/>
  <c r="AA402"/>
  <c r="AA403"/>
  <c r="AA404"/>
  <c r="AA405"/>
  <c r="AA406"/>
  <c r="AA407"/>
  <c r="AA408"/>
  <c r="AA409"/>
  <c r="AA410"/>
  <c r="AA411"/>
  <c r="AA412"/>
  <c r="AA413"/>
  <c r="AA414"/>
  <c r="AA415"/>
  <c r="AA416"/>
  <c r="AA417"/>
  <c r="AA418"/>
  <c r="AA419"/>
  <c r="AA420"/>
  <c r="AA421"/>
  <c r="AA422"/>
  <c r="AA423"/>
  <c r="AA424"/>
  <c r="AA425"/>
  <c r="AA426"/>
  <c r="AA427"/>
  <c r="AA428"/>
  <c r="AA429"/>
  <c r="AA430"/>
  <c r="AA431"/>
  <c r="AA432"/>
  <c r="AA433"/>
  <c r="AA434"/>
  <c r="AA435"/>
  <c r="AA436"/>
  <c r="AA437"/>
  <c r="AA438"/>
  <c r="AA439"/>
  <c r="AA440"/>
  <c r="AA441"/>
  <c r="AA442"/>
  <c r="AA443"/>
  <c r="AA444"/>
  <c r="AA445"/>
  <c r="AA446"/>
  <c r="AA447"/>
  <c r="AA448"/>
  <c r="AA449"/>
  <c r="AA450"/>
  <c r="AA451"/>
  <c r="AA452"/>
  <c r="AA453"/>
  <c r="AA454"/>
  <c r="AA455"/>
  <c r="AA456"/>
  <c r="AA457"/>
  <c r="AA458"/>
  <c r="AA459"/>
  <c r="AA460"/>
  <c r="AA461"/>
  <c r="AA462"/>
  <c r="AA3"/>
  <c r="Z4"/>
  <c r="Z5"/>
  <c r="Z6"/>
  <c r="Z7"/>
  <c r="Z8"/>
  <c r="Z9"/>
  <c r="Z10"/>
  <c r="Z11"/>
  <c r="Z12"/>
  <c r="Z13"/>
  <c r="Z14"/>
  <c r="Z15"/>
  <c r="Z16"/>
  <c r="Z17"/>
  <c r="Z18"/>
  <c r="Z19"/>
  <c r="Z20"/>
  <c r="Z21"/>
  <c r="Z22"/>
  <c r="Z23"/>
  <c r="Z24"/>
  <c r="Z25"/>
  <c r="Z26"/>
  <c r="Z27"/>
  <c r="Z28"/>
  <c r="Z29"/>
  <c r="Z30"/>
  <c r="Z31"/>
  <c r="Z32"/>
  <c r="Z33"/>
  <c r="Z34"/>
  <c r="Z35"/>
  <c r="Z36"/>
  <c r="Z37"/>
  <c r="Z38"/>
  <c r="Z39"/>
  <c r="Z40"/>
  <c r="Z41"/>
  <c r="Z42"/>
  <c r="Z43"/>
  <c r="Z44"/>
  <c r="Z45"/>
  <c r="Z46"/>
  <c r="Z47"/>
  <c r="Z48"/>
  <c r="Z49"/>
  <c r="Z50"/>
  <c r="Z51"/>
  <c r="Z52"/>
  <c r="Z53"/>
  <c r="Z54"/>
  <c r="Z55"/>
  <c r="Z56"/>
  <c r="Z57"/>
  <c r="Z58"/>
  <c r="Z59"/>
  <c r="Z60"/>
  <c r="Z61"/>
  <c r="Z62"/>
  <c r="Z63"/>
  <c r="Z64"/>
  <c r="Z65"/>
  <c r="Z66"/>
  <c r="Z67"/>
  <c r="Z68"/>
  <c r="Z69"/>
  <c r="Z70"/>
  <c r="Z71"/>
  <c r="Z72"/>
  <c r="Z73"/>
  <c r="Z74"/>
  <c r="Z75"/>
  <c r="Z76"/>
  <c r="Z77"/>
  <c r="Z78"/>
  <c r="Z79"/>
  <c r="Z80"/>
  <c r="Z81"/>
  <c r="Z82"/>
  <c r="Z83"/>
  <c r="Z84"/>
  <c r="Z85"/>
  <c r="Z86"/>
  <c r="Z87"/>
  <c r="Z88"/>
  <c r="Z89"/>
  <c r="Z90"/>
  <c r="Z91"/>
  <c r="Z92"/>
  <c r="Z93"/>
  <c r="Z94"/>
  <c r="Z95"/>
  <c r="Z96"/>
  <c r="Z97"/>
  <c r="Z98"/>
  <c r="Z99"/>
  <c r="Z100"/>
  <c r="Z101"/>
  <c r="Z102"/>
  <c r="Z103"/>
  <c r="Z104"/>
  <c r="Z105"/>
  <c r="Z106"/>
  <c r="Z107"/>
  <c r="Z108"/>
  <c r="Z109"/>
  <c r="Z110"/>
  <c r="Z111"/>
  <c r="Z112"/>
  <c r="Z113"/>
  <c r="Z114"/>
  <c r="Z115"/>
  <c r="Z116"/>
  <c r="Z117"/>
  <c r="Z118"/>
  <c r="Z119"/>
  <c r="Z120"/>
  <c r="Z121"/>
  <c r="Z122"/>
  <c r="Z123"/>
  <c r="Z124"/>
  <c r="Z125"/>
  <c r="Z126"/>
  <c r="Z127"/>
  <c r="Z128"/>
  <c r="Z129"/>
  <c r="Z130"/>
  <c r="Z131"/>
  <c r="Z132"/>
  <c r="Z133"/>
  <c r="Z134"/>
  <c r="Z135"/>
  <c r="Z136"/>
  <c r="Z137"/>
  <c r="Z138"/>
  <c r="Z139"/>
  <c r="Z140"/>
  <c r="Z141"/>
  <c r="Z142"/>
  <c r="Z143"/>
  <c r="Z144"/>
  <c r="Z145"/>
  <c r="Z146"/>
  <c r="Z147"/>
  <c r="Z148"/>
  <c r="Z149"/>
  <c r="Z150"/>
  <c r="Z151"/>
  <c r="Z152"/>
  <c r="Z153"/>
  <c r="Z154"/>
  <c r="Z155"/>
  <c r="Z156"/>
  <c r="Z157"/>
  <c r="Z158"/>
  <c r="Z159"/>
  <c r="Z160"/>
  <c r="Z161"/>
  <c r="Z162"/>
  <c r="Z163"/>
  <c r="Z164"/>
  <c r="Z165"/>
  <c r="Z166"/>
  <c r="Z167"/>
  <c r="Z168"/>
  <c r="Z169"/>
  <c r="Z170"/>
  <c r="Z171"/>
  <c r="Z172"/>
  <c r="Z173"/>
  <c r="Z174"/>
  <c r="Z175"/>
  <c r="Z176"/>
  <c r="Z177"/>
  <c r="Z178"/>
  <c r="Z179"/>
  <c r="Z180"/>
  <c r="Z181"/>
  <c r="Z182"/>
  <c r="Z183"/>
  <c r="Z184"/>
  <c r="Z185"/>
  <c r="Z186"/>
  <c r="Z187"/>
  <c r="Z188"/>
  <c r="Z189"/>
  <c r="Z190"/>
  <c r="Z191"/>
  <c r="Z192"/>
  <c r="Z193"/>
  <c r="Z194"/>
  <c r="Z195"/>
  <c r="Z196"/>
  <c r="Z197"/>
  <c r="Z198"/>
  <c r="Z199"/>
  <c r="Z200"/>
  <c r="Z201"/>
  <c r="Z202"/>
  <c r="Z203"/>
  <c r="Z204"/>
  <c r="Z205"/>
  <c r="Z206"/>
  <c r="Z207"/>
  <c r="Z208"/>
  <c r="Z209"/>
  <c r="Z210"/>
  <c r="Z211"/>
  <c r="Z212"/>
  <c r="Z213"/>
  <c r="Z214"/>
  <c r="Z215"/>
  <c r="Z216"/>
  <c r="Z217"/>
  <c r="Z218"/>
  <c r="Z219"/>
  <c r="Z220"/>
  <c r="Z221"/>
  <c r="Z222"/>
  <c r="Z223"/>
  <c r="Z224"/>
  <c r="Z225"/>
  <c r="Z226"/>
  <c r="Z227"/>
  <c r="Z228"/>
  <c r="Z229"/>
  <c r="Z230"/>
  <c r="Z231"/>
  <c r="Z232"/>
  <c r="Z233"/>
  <c r="Z234"/>
  <c r="Z235"/>
  <c r="Z236"/>
  <c r="Z237"/>
  <c r="Z238"/>
  <c r="Z239"/>
  <c r="Z240"/>
  <c r="Z241"/>
  <c r="Z242"/>
  <c r="Z243"/>
  <c r="Z244"/>
  <c r="Z245"/>
  <c r="Z246"/>
  <c r="Z247"/>
  <c r="Z248"/>
  <c r="Z249"/>
  <c r="Z250"/>
  <c r="Z251"/>
  <c r="Z252"/>
  <c r="Z253"/>
  <c r="Z254"/>
  <c r="Z255"/>
  <c r="Z256"/>
  <c r="Z257"/>
  <c r="Z258"/>
  <c r="Z259"/>
  <c r="Z260"/>
  <c r="Z261"/>
  <c r="Z262"/>
  <c r="Z263"/>
  <c r="Z264"/>
  <c r="Z265"/>
  <c r="Z266"/>
  <c r="Z267"/>
  <c r="Z268"/>
  <c r="Z269"/>
  <c r="Z270"/>
  <c r="Z271"/>
  <c r="Z272"/>
  <c r="Z273"/>
  <c r="Z274"/>
  <c r="Z275"/>
  <c r="Z276"/>
  <c r="Z277"/>
  <c r="Z278"/>
  <c r="Z279"/>
  <c r="Z280"/>
  <c r="Z281"/>
  <c r="Z282"/>
  <c r="Z283"/>
  <c r="Z284"/>
  <c r="Z285"/>
  <c r="Z286"/>
  <c r="Z287"/>
  <c r="Z288"/>
  <c r="Z289"/>
  <c r="Z290"/>
  <c r="Z291"/>
  <c r="Z292"/>
  <c r="Z293"/>
  <c r="Z294"/>
  <c r="Z295"/>
  <c r="Z296"/>
  <c r="Z297"/>
  <c r="Z298"/>
  <c r="Z299"/>
  <c r="Z300"/>
  <c r="Z301"/>
  <c r="Z302"/>
  <c r="Z303"/>
  <c r="Z304"/>
  <c r="Z305"/>
  <c r="Z306"/>
  <c r="Z307"/>
  <c r="Z308"/>
  <c r="Z309"/>
  <c r="Z310"/>
  <c r="Z311"/>
  <c r="Z312"/>
  <c r="Z313"/>
  <c r="Z314"/>
  <c r="Z315"/>
  <c r="Z316"/>
  <c r="Z317"/>
  <c r="Z318"/>
  <c r="Z319"/>
  <c r="Z320"/>
  <c r="Z321"/>
  <c r="Z322"/>
  <c r="Z323"/>
  <c r="Z324"/>
  <c r="Z325"/>
  <c r="Z326"/>
  <c r="Z327"/>
  <c r="Z328"/>
  <c r="Z329"/>
  <c r="Z330"/>
  <c r="Z331"/>
  <c r="Z332"/>
  <c r="Z333"/>
  <c r="Z334"/>
  <c r="Z335"/>
  <c r="Z336"/>
  <c r="Z337"/>
  <c r="Z338"/>
  <c r="Z339"/>
  <c r="Z340"/>
  <c r="Z341"/>
  <c r="Z342"/>
  <c r="Z343"/>
  <c r="Z344"/>
  <c r="Z345"/>
  <c r="Z346"/>
  <c r="Z347"/>
  <c r="Z348"/>
  <c r="Z349"/>
  <c r="Z350"/>
  <c r="Z351"/>
  <c r="Z352"/>
  <c r="Z353"/>
  <c r="Z354"/>
  <c r="Z355"/>
  <c r="Z356"/>
  <c r="Z357"/>
  <c r="Z358"/>
  <c r="Z359"/>
  <c r="Z360"/>
  <c r="Z361"/>
  <c r="Z362"/>
  <c r="Z363"/>
  <c r="Z364"/>
  <c r="Z365"/>
  <c r="Z366"/>
  <c r="Z367"/>
  <c r="Z368"/>
  <c r="Z369"/>
  <c r="Z370"/>
  <c r="Z371"/>
  <c r="Z372"/>
  <c r="Z373"/>
  <c r="Z374"/>
  <c r="Z375"/>
  <c r="Z376"/>
  <c r="Z377"/>
  <c r="Z378"/>
  <c r="Z379"/>
  <c r="Z380"/>
  <c r="Z381"/>
  <c r="Z382"/>
  <c r="Z383"/>
  <c r="Z384"/>
  <c r="Z385"/>
  <c r="Z386"/>
  <c r="Z387"/>
  <c r="Z388"/>
  <c r="Z389"/>
  <c r="Z390"/>
  <c r="Z391"/>
  <c r="Z392"/>
  <c r="Z393"/>
  <c r="Z394"/>
  <c r="Z395"/>
  <c r="Z396"/>
  <c r="Z397"/>
  <c r="Z398"/>
  <c r="Z399"/>
  <c r="Z400"/>
  <c r="Z401"/>
  <c r="Z402"/>
  <c r="Z403"/>
  <c r="Z404"/>
  <c r="Z405"/>
  <c r="Z406"/>
  <c r="Z407"/>
  <c r="Z408"/>
  <c r="Z409"/>
  <c r="Z410"/>
  <c r="Z411"/>
  <c r="Z412"/>
  <c r="Z413"/>
  <c r="Z414"/>
  <c r="Z415"/>
  <c r="Z416"/>
  <c r="Z417"/>
  <c r="Z418"/>
  <c r="Z419"/>
  <c r="Z420"/>
  <c r="Z421"/>
  <c r="Z422"/>
  <c r="Z423"/>
  <c r="Z424"/>
  <c r="Z425"/>
  <c r="Z426"/>
  <c r="Z427"/>
  <c r="Z428"/>
  <c r="Z429"/>
  <c r="Z430"/>
  <c r="Z431"/>
  <c r="Z432"/>
  <c r="Z433"/>
  <c r="Z434"/>
  <c r="Z435"/>
  <c r="Z436"/>
  <c r="Z437"/>
  <c r="Z438"/>
  <c r="Z439"/>
  <c r="Z440"/>
  <c r="Z441"/>
  <c r="Z442"/>
  <c r="Z443"/>
  <c r="Z444"/>
  <c r="Z445"/>
  <c r="Z446"/>
  <c r="Z447"/>
  <c r="Z448"/>
  <c r="Z449"/>
  <c r="Z450"/>
  <c r="Z451"/>
  <c r="Z452"/>
  <c r="Z453"/>
  <c r="Z454"/>
  <c r="Z455"/>
  <c r="Z456"/>
  <c r="Z457"/>
  <c r="Z458"/>
  <c r="Z459"/>
  <c r="Z460"/>
  <c r="Z461"/>
  <c r="Z462"/>
  <c r="Z3"/>
  <c r="AN359" l="1"/>
  <c r="AN99"/>
  <c r="AN95"/>
  <c r="AN372"/>
  <c r="AN356"/>
  <c r="AN100"/>
  <c r="AN96"/>
  <c r="AN381"/>
  <c r="AN373"/>
  <c r="AN357"/>
  <c r="AN101"/>
  <c r="AN97"/>
</calcChain>
</file>

<file path=xl/sharedStrings.xml><?xml version="1.0" encoding="utf-8"?>
<sst xmlns="http://schemas.openxmlformats.org/spreadsheetml/2006/main" count="5596" uniqueCount="1618">
  <si>
    <t>ElemIdent</t>
  </si>
  <si>
    <t>Mat</t>
  </si>
  <si>
    <t>Teilbez</t>
  </si>
  <si>
    <t>Flaenge</t>
  </si>
  <si>
    <t>Fbreite</t>
  </si>
  <si>
    <t>Drehbar</t>
  </si>
  <si>
    <t>Stueck</t>
  </si>
  <si>
    <t>KaVoBez</t>
  </si>
  <si>
    <t>KaHiBez</t>
  </si>
  <si>
    <t>KaLiBez</t>
  </si>
  <si>
    <t>KaReBez</t>
  </si>
  <si>
    <t>Info1</t>
  </si>
  <si>
    <t>Info2</t>
  </si>
  <si>
    <t>Info3</t>
  </si>
  <si>
    <t>Info4</t>
  </si>
  <si>
    <t>Info5</t>
  </si>
  <si>
    <t>Info6</t>
  </si>
  <si>
    <t>Info7</t>
  </si>
  <si>
    <t>Info8</t>
  </si>
  <si>
    <t>WA</t>
  </si>
  <si>
    <t>WF</t>
  </si>
  <si>
    <t>WD</t>
  </si>
  <si>
    <t>WO</t>
  </si>
  <si>
    <t>WG</t>
  </si>
  <si>
    <t>WV</t>
  </si>
  <si>
    <t>WX</t>
  </si>
  <si>
    <t>mat</t>
  </si>
  <si>
    <t>code</t>
  </si>
  <si>
    <t>length</t>
  </si>
  <si>
    <t>width</t>
  </si>
  <si>
    <t>turnable</t>
  </si>
  <si>
    <t>quantity</t>
  </si>
  <si>
    <t>front edge</t>
  </si>
  <si>
    <t>rear edge</t>
  </si>
  <si>
    <t>left edge</t>
  </si>
  <si>
    <t>right edge</t>
  </si>
  <si>
    <t>WareCode</t>
  </si>
  <si>
    <t>WareName</t>
  </si>
  <si>
    <t>ColorName</t>
  </si>
  <si>
    <t>Float Group</t>
  </si>
  <si>
    <t>ParentWareCode</t>
  </si>
  <si>
    <t>برش ورق</t>
  </si>
  <si>
    <t>Z13673-03 :1</t>
  </si>
  <si>
    <t>NC007 M/AM114</t>
  </si>
  <si>
    <t>ABH24558/WG-WF-WA\/Z13673-03</t>
  </si>
  <si>
    <t>Z13673-03</t>
  </si>
  <si>
    <t>ديواره رونشين پشت سمت يراق</t>
  </si>
  <si>
    <t>VM.AM114</t>
  </si>
  <si>
    <t>ABH24558</t>
  </si>
  <si>
    <t>بانک کارآفرين</t>
  </si>
  <si>
    <t>PILLOW</t>
  </si>
  <si>
    <t>PWM</t>
  </si>
  <si>
    <t>ABH24558-11</t>
  </si>
  <si>
    <t>ABH24559/WG-WF-WA\/Z13673-03</t>
  </si>
  <si>
    <t>ABH24559</t>
  </si>
  <si>
    <t>Z13673-06 :1</t>
  </si>
  <si>
    <t>ABH24558/WG-WF-WA\/Z13673-06</t>
  </si>
  <si>
    <t>Z13673-06</t>
  </si>
  <si>
    <t>ديواره رونشين جلو</t>
  </si>
  <si>
    <t>ABH24559/WG-WF-WA\/Z13673-06</t>
  </si>
  <si>
    <t>Z13673-07 :1</t>
  </si>
  <si>
    <t>ABH24558/WG-WF-WA\/Z13673-07</t>
  </si>
  <si>
    <t>Z13673-07</t>
  </si>
  <si>
    <t>سقف ككو خور</t>
  </si>
  <si>
    <t>ABH24559/WG-WF-WA\/Z13673-07</t>
  </si>
  <si>
    <t>Z24558-04 :1</t>
  </si>
  <si>
    <t>ABH24558/WG-WF-WA\/Z24558-04</t>
  </si>
  <si>
    <t>Z24558-04</t>
  </si>
  <si>
    <t>ديواره تونشين چپ</t>
  </si>
  <si>
    <t>ABH24559/WG-WF-WA\/Z24558-04</t>
  </si>
  <si>
    <t>Z24558-05 :1</t>
  </si>
  <si>
    <t>ABH24558/WG-WF-WA\/Z24558-05</t>
  </si>
  <si>
    <t>Z24558-05</t>
  </si>
  <si>
    <t>ديواره تونشين راست</t>
  </si>
  <si>
    <t>ABH24559/WG-WF-WA\/Z24558-05</t>
  </si>
  <si>
    <t>Z10702-01 :1</t>
  </si>
  <si>
    <t>NC007 M/ANTRASIT MAAT 115</t>
  </si>
  <si>
    <t>AB10702/WG-WF-WA\/Z10702-01</t>
  </si>
  <si>
    <t>Z10702-01</t>
  </si>
  <si>
    <t>صفحه رو</t>
  </si>
  <si>
    <t>M.AM115</t>
  </si>
  <si>
    <t>AB10702</t>
  </si>
  <si>
    <t>ابتکار طوس پايا</t>
  </si>
  <si>
    <t>FAST</t>
  </si>
  <si>
    <t>CU17</t>
  </si>
  <si>
    <t>AB10702-01</t>
  </si>
  <si>
    <t>Z10702-02 :1</t>
  </si>
  <si>
    <t>AB10702/WG-WF-WA\/Z10702-02</t>
  </si>
  <si>
    <t>Z10702-02</t>
  </si>
  <si>
    <t>پنل جلويي</t>
  </si>
  <si>
    <t>AB10702-02</t>
  </si>
  <si>
    <t>Z10702-05 :1</t>
  </si>
  <si>
    <t>AB10702/WG-WF-WA\/Z10702-05</t>
  </si>
  <si>
    <t>Z10702-05</t>
  </si>
  <si>
    <t>نماي پيشخوان</t>
  </si>
  <si>
    <t>AB10702-03</t>
  </si>
  <si>
    <t>Z10702-06 :1</t>
  </si>
  <si>
    <t>AB10702/WG-WF-WA\/Z10702-06</t>
  </si>
  <si>
    <t>Z10702-06</t>
  </si>
  <si>
    <t>پيشخوان</t>
  </si>
  <si>
    <t xml:space="preserve">Z15408-06 :1 ::S </t>
  </si>
  <si>
    <t>AS15413/WG-WF-WL-WA\Z17477-001/Z15408-06</t>
  </si>
  <si>
    <t>Z15408-06</t>
  </si>
  <si>
    <t>FD760 درب كشو قفلدار فايل</t>
  </si>
  <si>
    <t>AS15413</t>
  </si>
  <si>
    <t>CLOCK2</t>
  </si>
  <si>
    <t>FD761-CLOCK2</t>
  </si>
  <si>
    <t xml:space="preserve">Z15408-07 :1 ::S </t>
  </si>
  <si>
    <t>AS15413/WG-WF-WL-WA\/Z15408-07</t>
  </si>
  <si>
    <t>Z15408-07</t>
  </si>
  <si>
    <t>FD760 درب كشو بدون قفل فايل</t>
  </si>
  <si>
    <t>Z15413-01 :1</t>
  </si>
  <si>
    <t>AS15413/WG-WF-WA\Z15413-001/Z15413-01</t>
  </si>
  <si>
    <t>Z15413-01</t>
  </si>
  <si>
    <t>FD761-L كف فايل</t>
  </si>
  <si>
    <t>Z15413-02-MO</t>
  </si>
  <si>
    <t>AS15413/WG-WF-WO-WA\Z15413-001/Z15413-02</t>
  </si>
  <si>
    <t>Z15413-02</t>
  </si>
  <si>
    <t>FD761-L بغل چپ فايل</t>
  </si>
  <si>
    <t>Z15413-04</t>
  </si>
  <si>
    <t>AS15413/WI-WG-WF-WA\Z15413-001/Z15413-04</t>
  </si>
  <si>
    <t>FD761-L بغل راست فايل</t>
  </si>
  <si>
    <t>Z15413-05</t>
  </si>
  <si>
    <t>AS15413/WI-WG-WF-WA\Z15413-001/Z15413-05</t>
  </si>
  <si>
    <t>FD761-L ديوايدر وسط فايل</t>
  </si>
  <si>
    <t>Z15413-06 :1</t>
  </si>
  <si>
    <t>AS15413/WG-WF-WA\Z15413-001/Z15413-06</t>
  </si>
  <si>
    <t>Z15413-06</t>
  </si>
  <si>
    <t>FD761-L سقف فايل</t>
  </si>
  <si>
    <t>Z15427-01 :1</t>
  </si>
  <si>
    <t>ABK24645/WG-WF-WA\/Z15427-01</t>
  </si>
  <si>
    <t>Z15427-01</t>
  </si>
  <si>
    <t>FD757 كف فايل</t>
  </si>
  <si>
    <t>ABK24645</t>
  </si>
  <si>
    <t>علي آقايي</t>
  </si>
  <si>
    <t>RIMA</t>
  </si>
  <si>
    <t>WST23-RIMA</t>
  </si>
  <si>
    <t>AS16040</t>
  </si>
  <si>
    <t>Z15427-04 :1</t>
  </si>
  <si>
    <t>ABK24645/WI-WG-WF-WA\/Z15427-04</t>
  </si>
  <si>
    <t>Z15427-04</t>
  </si>
  <si>
    <t>FD757 بغل راست فايل</t>
  </si>
  <si>
    <t>Z16040-02 :1</t>
  </si>
  <si>
    <t>ABK24645/WG-WF-WA\Z16040-001/Z16040-02</t>
  </si>
  <si>
    <t>Z16040-02</t>
  </si>
  <si>
    <t>بغل چپ</t>
  </si>
  <si>
    <t>Z16058-01 :1</t>
  </si>
  <si>
    <t>ABK24645/WG-WF-WA\/Z16058-01</t>
  </si>
  <si>
    <t>Z16058-01</t>
  </si>
  <si>
    <t>ABK16058-01</t>
  </si>
  <si>
    <t>Z18203-03 :1</t>
  </si>
  <si>
    <t>ABK18276/WG-WF-WA\/Z18203-03</t>
  </si>
  <si>
    <t>Z18203-03</t>
  </si>
  <si>
    <t>صفحه پنل</t>
  </si>
  <si>
    <t>ABK18276</t>
  </si>
  <si>
    <t>PR94-RIMA</t>
  </si>
  <si>
    <t>AB18276-01</t>
  </si>
  <si>
    <t>Z9470-03 :1</t>
  </si>
  <si>
    <t>AB10702/WG-WF-WA\/Z9470-03</t>
  </si>
  <si>
    <t>Z9470-03</t>
  </si>
  <si>
    <t>پنل چپي</t>
  </si>
  <si>
    <t>Z9470-04 :1</t>
  </si>
  <si>
    <t>AB10702/WG-WF-WA\/Z9470-04</t>
  </si>
  <si>
    <t>Z9470-04</t>
  </si>
  <si>
    <t>پنل راستي</t>
  </si>
  <si>
    <t xml:space="preserve">Z9505-10 :1 ::S </t>
  </si>
  <si>
    <t>AS9532/WG-WM-WL-WF-WA\/Z9505-10</t>
  </si>
  <si>
    <t>Z9505-10</t>
  </si>
  <si>
    <t>قاب طولي سمت لولا درب چپي</t>
  </si>
  <si>
    <t>AS9532</t>
  </si>
  <si>
    <t>LINK</t>
  </si>
  <si>
    <t>FLB203</t>
  </si>
  <si>
    <t xml:space="preserve">Z9505-11 :1 ::S </t>
  </si>
  <si>
    <t>AS9532/WI-WG-WM-WL-WF-WA\/Z9505-11</t>
  </si>
  <si>
    <t>Z9505-11</t>
  </si>
  <si>
    <t>قاب طولي سمت دستگيره درب چپي</t>
  </si>
  <si>
    <t xml:space="preserve">Z9505-13 :1 ::S </t>
  </si>
  <si>
    <t>AS9532/WG-WM-WL-WF-WA\/Z9505-13</t>
  </si>
  <si>
    <t>Z9505-13</t>
  </si>
  <si>
    <t>قاب طولي سمت لولا درب راستي</t>
  </si>
  <si>
    <t xml:space="preserve">Z9505-14 :1 ::S </t>
  </si>
  <si>
    <t>AS9532/WI-WG-WM-WL-WF-WA\/Z9505-14</t>
  </si>
  <si>
    <t>Z9505-14</t>
  </si>
  <si>
    <t>قاب طولي سمت دستگيره درب راستي</t>
  </si>
  <si>
    <t>Z9505-16 :1</t>
  </si>
  <si>
    <t>AS9532/WI-WG-WF-WA\/Z9505-16</t>
  </si>
  <si>
    <t>Z9505-16</t>
  </si>
  <si>
    <t>درب چپي پايين</t>
  </si>
  <si>
    <t>Z9505-17 :1</t>
  </si>
  <si>
    <t>AS9532/WI-WG-WF-WA\/Z9505-17</t>
  </si>
  <si>
    <t>Z9505-17</t>
  </si>
  <si>
    <t>درب راستي پايين</t>
  </si>
  <si>
    <t>Z9532-01 :1</t>
  </si>
  <si>
    <t>AS9532/WG-WF-WA\Z9532-001/Z9532-01</t>
  </si>
  <si>
    <t>Z9532-01</t>
  </si>
  <si>
    <t>كف كمد</t>
  </si>
  <si>
    <t>Z9532-02 :1</t>
  </si>
  <si>
    <t>AS9532/WG-WF-WA\Z9532-001/Z9532-02</t>
  </si>
  <si>
    <t>Z9532-02</t>
  </si>
  <si>
    <t>بغل چپ كمد</t>
  </si>
  <si>
    <t>Z9532-03 :1</t>
  </si>
  <si>
    <t>AS9532/WG-WF-WA\Z9532-001/Z9532-03</t>
  </si>
  <si>
    <t>Z9532-03</t>
  </si>
  <si>
    <t>بغل راست كمد</t>
  </si>
  <si>
    <t>Z9532-06 :1</t>
  </si>
  <si>
    <t>AS9532/WG-WF-WA\Z9532-001/Z9532-06</t>
  </si>
  <si>
    <t>Z9532-06</t>
  </si>
  <si>
    <t>سقف كمد</t>
  </si>
  <si>
    <t>Z9532-07 :1</t>
  </si>
  <si>
    <t>AS9532/WF-WA\/Z9532-07</t>
  </si>
  <si>
    <t>Z9532-07</t>
  </si>
  <si>
    <t>طبقه متحرك كمد</t>
  </si>
  <si>
    <t>Z9532-08 :1</t>
  </si>
  <si>
    <t>AS9532/WG-WF-WA\/Z9532-08</t>
  </si>
  <si>
    <t>Z9532-08</t>
  </si>
  <si>
    <t>طبقه ثابت كمد</t>
  </si>
  <si>
    <t>Z15413-03-KH</t>
  </si>
  <si>
    <t>AS15413/WG-WA\Z15413-001/Z15413-03</t>
  </si>
  <si>
    <t>Z15413-03</t>
  </si>
  <si>
    <t>FD761-L پشتي فايل</t>
  </si>
  <si>
    <t>زغالي مات115/</t>
  </si>
  <si>
    <t>Z15427-03-KH</t>
  </si>
  <si>
    <t>ABK24645/WG-WA\/Z15427-03</t>
  </si>
  <si>
    <t>Z15427-03</t>
  </si>
  <si>
    <t>FD757 پشتي فايل</t>
  </si>
  <si>
    <t>Z9532-04-KH</t>
  </si>
  <si>
    <t>AS9532/WG-WA\Z9532-001/Z9532-04</t>
  </si>
  <si>
    <t>Z9532-04</t>
  </si>
  <si>
    <t>پشتي كمد</t>
  </si>
  <si>
    <t>WG3833 / WA3833 :1</t>
  </si>
  <si>
    <t>ABG24671/ABG24671-01/WG3833/WF3833/WQ3833/WA3833</t>
  </si>
  <si>
    <t>WA3833</t>
  </si>
  <si>
    <t>CE65-150-300 پنل</t>
  </si>
  <si>
    <t>ABG24671</t>
  </si>
  <si>
    <t>CE65</t>
  </si>
  <si>
    <t>ABG24671-01</t>
  </si>
  <si>
    <t>WF3921 / WA3921 :1</t>
  </si>
  <si>
    <t>ABG24671/AB12056-02/WF3921/WA3921</t>
  </si>
  <si>
    <t>WA3921</t>
  </si>
  <si>
    <t>CE65-130-300 صفحه هد</t>
  </si>
  <si>
    <t>AB12056-02</t>
  </si>
  <si>
    <t>WG3922 / WA3922 :1</t>
  </si>
  <si>
    <t>ABG24671/ABG24671-01/WG3922/WF3922/WA3922</t>
  </si>
  <si>
    <t>WA3922</t>
  </si>
  <si>
    <t>CE65-130-300 صفحه روي وسط</t>
  </si>
  <si>
    <t>WG4255 / WA4255 :1</t>
  </si>
  <si>
    <t>ABG24671/AB4255-02/WG4255/WF4255/WA4255</t>
  </si>
  <si>
    <t>WA4255</t>
  </si>
  <si>
    <t>CE65-150-10 to 14 صفحه پايه توپر کنفرانسي</t>
  </si>
  <si>
    <t>AB4255-02</t>
  </si>
  <si>
    <t>WF4388 / WA4388 :1</t>
  </si>
  <si>
    <t>AB5091/AB5091-01/WF4388/WA4388</t>
  </si>
  <si>
    <t>WA4388</t>
  </si>
  <si>
    <t>CO69-180*180-8 صفحه روي بزرگ کنفرانس</t>
  </si>
  <si>
    <t>AB5091</t>
  </si>
  <si>
    <t>CO69</t>
  </si>
  <si>
    <t>AB5091-01</t>
  </si>
  <si>
    <t>WF4389 / WA4389 :1</t>
  </si>
  <si>
    <t>AB5091/AB5091-01/WF4389/WA4389</t>
  </si>
  <si>
    <t>WA4389</t>
  </si>
  <si>
    <t>CO69-180*180-8 صفحه روي کوچک کنفرانس</t>
  </si>
  <si>
    <t>WF4408-06 / WA4408-MO :1</t>
  </si>
  <si>
    <t>ABG24671/ABG24671-01/WF4408-06/WO4408-06/WA4408</t>
  </si>
  <si>
    <t>WA4408</t>
  </si>
  <si>
    <t>CE65-130-8-10+ML06-71 صفحه وسط</t>
  </si>
  <si>
    <t>Z2765-0002-KH :2</t>
  </si>
  <si>
    <t>NC007 M/BEDONE ROKSH</t>
  </si>
  <si>
    <t>AB11893/WA\/Z2765-0002</t>
  </si>
  <si>
    <t>Z2765-0002</t>
  </si>
  <si>
    <t>چيدمان قيد صفحه كناري چپي</t>
  </si>
  <si>
    <t>-</t>
  </si>
  <si>
    <t>AB11893</t>
  </si>
  <si>
    <t>PARINI</t>
  </si>
  <si>
    <t>MA51</t>
  </si>
  <si>
    <t>AB11893-03</t>
  </si>
  <si>
    <t>Z2765-0003-KH :2</t>
  </si>
  <si>
    <t>AB11893/WA\/Z2765-0003</t>
  </si>
  <si>
    <t>Z2765-0003</t>
  </si>
  <si>
    <t>چيدمان قيد صفحه كناري راستي</t>
  </si>
  <si>
    <t>Z11893-06-MO</t>
  </si>
  <si>
    <t>AB11893/WO-WA\Z11893-006/Z11893-06</t>
  </si>
  <si>
    <t>Z11893-06</t>
  </si>
  <si>
    <t>صفحه تجهيزات الكترونيكي</t>
  </si>
  <si>
    <t>بدون روكش/</t>
  </si>
  <si>
    <t>AB11893-02</t>
  </si>
  <si>
    <t>Z12017-32-MO</t>
  </si>
  <si>
    <t>AB12017/WO-WA\/Z12017-32</t>
  </si>
  <si>
    <t>Z12017-32</t>
  </si>
  <si>
    <t>قاب دندان موشي طولي</t>
  </si>
  <si>
    <t>AB12017</t>
  </si>
  <si>
    <t>LISBON</t>
  </si>
  <si>
    <t>MA240</t>
  </si>
  <si>
    <t>AB12017-31</t>
  </si>
  <si>
    <t>Z12017-33-MO</t>
  </si>
  <si>
    <t>AB12017/WO-WA\/Z12017-33</t>
  </si>
  <si>
    <t>Z12017-33</t>
  </si>
  <si>
    <t>قاب دندان موشي عرضي</t>
  </si>
  <si>
    <t>Z24558-10-KH</t>
  </si>
  <si>
    <t>ABH24558/WA\Z24558-012/Z24558-10</t>
  </si>
  <si>
    <t>Z24558-10</t>
  </si>
  <si>
    <t>قيد عرضي</t>
  </si>
  <si>
    <t>ABH24558-10</t>
  </si>
  <si>
    <t>ABH24559/WA\Z24558-012/Z24558-10</t>
  </si>
  <si>
    <t>Z24558-11-KH</t>
  </si>
  <si>
    <t>ABH24558/WG-WA\Z24558-012/Z24558-11</t>
  </si>
  <si>
    <t>Z24558-11</t>
  </si>
  <si>
    <t>قيد طولي</t>
  </si>
  <si>
    <t>ABH24559/WG-WA\Z24558-012/Z24558-11</t>
  </si>
  <si>
    <t>Z24558-12-KH</t>
  </si>
  <si>
    <t>ABH24558/WA\Z24558-012/Z24558-12</t>
  </si>
  <si>
    <t>Z24558-12</t>
  </si>
  <si>
    <t>ABH24559/WA\Z24558-012/Z24558-12</t>
  </si>
  <si>
    <t>Z24558-13-KH</t>
  </si>
  <si>
    <t>ABH24558/WG-WA\Z24558-012/Z24558-13</t>
  </si>
  <si>
    <t>Z24558-13</t>
  </si>
  <si>
    <t>ABH24559/WG-WA\Z24558-012/Z24558-13</t>
  </si>
  <si>
    <t>Z24558-14-KH</t>
  </si>
  <si>
    <t>ABH24558/WA\Z24558-012/Z24558-14</t>
  </si>
  <si>
    <t>Z24558-14</t>
  </si>
  <si>
    <t>قيد عرضي وسط</t>
  </si>
  <si>
    <t>ABH24559/WA\Z24558-012/Z24558-14</t>
  </si>
  <si>
    <t>Z24669-80-MO</t>
  </si>
  <si>
    <t>ABT24669/WC-WO-WA\Z24669-008/Z24669-80</t>
  </si>
  <si>
    <t>Z24669-80</t>
  </si>
  <si>
    <t>ديوايدر پارچه اي اورينگي-1.6*35*980</t>
  </si>
  <si>
    <t>ABT24669</t>
  </si>
  <si>
    <t>اتکال تجارت</t>
  </si>
  <si>
    <t>WST35</t>
  </si>
  <si>
    <t>ABT24669-13</t>
  </si>
  <si>
    <t>Z9361-01-KH</t>
  </si>
  <si>
    <t>ABH24558/WA\Z9361-0001/Z9361-01</t>
  </si>
  <si>
    <t>Z9361-01</t>
  </si>
  <si>
    <t>سقف باكس مبل يكنفره</t>
  </si>
  <si>
    <t>AB9361</t>
  </si>
  <si>
    <t>ABH24559/WA\Z9361-0001/Z9361-01</t>
  </si>
  <si>
    <t>Z9361-02-KH</t>
  </si>
  <si>
    <t>ABH24558/WA\Z9361-0001/Z9361-02</t>
  </si>
  <si>
    <t>Z9361-02</t>
  </si>
  <si>
    <t>بغل باكس رونشين مبل يكنفره</t>
  </si>
  <si>
    <t>ABH24559/WA\Z9361-0001/Z9361-02</t>
  </si>
  <si>
    <t>Z9361-03-KH</t>
  </si>
  <si>
    <t>ABH24558/WA\/Z9361-03</t>
  </si>
  <si>
    <t>Z9361-03</t>
  </si>
  <si>
    <t>بغل باكس تونشين مبل يكنفره</t>
  </si>
  <si>
    <t>ABH24559/WA\/Z9361-03</t>
  </si>
  <si>
    <t>Z9361-05-KH</t>
  </si>
  <si>
    <t>ABH24558/WA\/Z9361-05</t>
  </si>
  <si>
    <t>Z9361-05</t>
  </si>
  <si>
    <t>قاب طولي كف باكس يكنفره</t>
  </si>
  <si>
    <t>ABH24559/WA\/Z9361-05</t>
  </si>
  <si>
    <t>Z9361-060-KH :2</t>
  </si>
  <si>
    <t>ABH24558/WA\/Z9361-060</t>
  </si>
  <si>
    <t>Z9361-060</t>
  </si>
  <si>
    <t>پايه 5 سانتي مبل يكنفره</t>
  </si>
  <si>
    <t>ABH24559/WA\/Z9361-060</t>
  </si>
  <si>
    <t>Z12198-15-MO</t>
  </si>
  <si>
    <t>ABK20923/WG-WV-WO-WA\/Z12198-15</t>
  </si>
  <si>
    <t>Z12198-15</t>
  </si>
  <si>
    <t>كف كشو  تقسيم بندي بالا</t>
  </si>
  <si>
    <t>مشكي چرمي</t>
  </si>
  <si>
    <t>ABK20923</t>
  </si>
  <si>
    <t>DOOMA</t>
  </si>
  <si>
    <t>MA450</t>
  </si>
  <si>
    <t>AS12198-02</t>
  </si>
  <si>
    <t>Z2765-09-MO</t>
  </si>
  <si>
    <t>AB11893/WV-WO-WA\/Z2765-09</t>
  </si>
  <si>
    <t>Z2765-09</t>
  </si>
  <si>
    <t>صفحه لوازم التحرير</t>
  </si>
  <si>
    <t>مشكي سوزني</t>
  </si>
  <si>
    <t>WG3864 / WA3864-MO</t>
  </si>
  <si>
    <t>AB6447/AS5423/WK5423-02/WI4152/WI3865/WG3864/WV3864/WO3864/WA3864</t>
  </si>
  <si>
    <t>WA3864</t>
  </si>
  <si>
    <t>FDH203-R کف کشو تقسيم بندي</t>
  </si>
  <si>
    <t>AB6447</t>
  </si>
  <si>
    <t>مبين انرژي خليج فارس</t>
  </si>
  <si>
    <t>MA84-4</t>
  </si>
  <si>
    <t>AS5423</t>
  </si>
  <si>
    <t>AB6448/AS5946/WK5946-02/WI4152-01/WI3865/WG3864/WV3864/WO3864/WA3864</t>
  </si>
  <si>
    <t>AB6448</t>
  </si>
  <si>
    <t>AS5946</t>
  </si>
  <si>
    <t>AB6453/AS5423/WK5423-02/WI4152/WI3865/WG3864/WV3864/WO3864/WA3864</t>
  </si>
  <si>
    <t>AB6453</t>
  </si>
  <si>
    <t>WG3873 / WA3873-MO</t>
  </si>
  <si>
    <t>AB6447/AS5423/WK5423-02/WK5423-2/WG3873/WV3873/WO3873/WA3873</t>
  </si>
  <si>
    <t>WA3873</t>
  </si>
  <si>
    <t>FDH203-R تقسيم بندي زير سقف باکس</t>
  </si>
  <si>
    <t>AB6448/AS5946/WK5946-02/WK5946-2/WG3873/WV3873/WO3873/WA3873</t>
  </si>
  <si>
    <t>AB6453/AS5423/WK5423-02/WK5423-2/WG3873/WV3873/WO3873/WA3873</t>
  </si>
  <si>
    <t>WG4391 / WA4391-MO</t>
  </si>
  <si>
    <t>AB6453/AB6453-01/WG4391/WV4391/WO4391/WA4391</t>
  </si>
  <si>
    <t>WA4391</t>
  </si>
  <si>
    <t>چند تکه MA80-240-R-SS صفحه با روکش چرم</t>
  </si>
  <si>
    <t>AB6453-01</t>
  </si>
  <si>
    <t>Z24476-01-MO</t>
  </si>
  <si>
    <t>NC007 M/BLACK SOFT TOUCH</t>
  </si>
  <si>
    <t>ABG24653/WE-WD-WO-WA\/Z24476-01</t>
  </si>
  <si>
    <t>Z24476-01</t>
  </si>
  <si>
    <t>SM.BT</t>
  </si>
  <si>
    <t>ABG24653</t>
  </si>
  <si>
    <t>PRADA</t>
  </si>
  <si>
    <t>CO555-PRADA</t>
  </si>
  <si>
    <t>ABK24476-01</t>
  </si>
  <si>
    <t xml:space="preserve">Z9190-60-MO :1 ::S </t>
  </si>
  <si>
    <t>AS9346/WI-WF-WL-WO-WA\/Z9190-60</t>
  </si>
  <si>
    <t>Z9190-60</t>
  </si>
  <si>
    <t>درب کشو</t>
  </si>
  <si>
    <t>AS9346</t>
  </si>
  <si>
    <t>FD906</t>
  </si>
  <si>
    <t>Z9346-05 :1</t>
  </si>
  <si>
    <t>AS9346/WG-WF-WA\/Z9346-05</t>
  </si>
  <si>
    <t>Z9346-05</t>
  </si>
  <si>
    <t>سقف ثابت FD906-S</t>
  </si>
  <si>
    <t xml:space="preserve">Z9346-600-MO :1 ::S </t>
  </si>
  <si>
    <t>AS9346/WI-WG-WF-WO-WL-WA\/Z9346-600</t>
  </si>
  <si>
    <t>Z9346-600</t>
  </si>
  <si>
    <t>درب کشو قفل دار FD906-S</t>
  </si>
  <si>
    <t>Z9553-62 :1</t>
  </si>
  <si>
    <t>ABG12261/WI-WG-WF-WA\/Z9553-62</t>
  </si>
  <si>
    <t>Z9553-62</t>
  </si>
  <si>
    <t>درب ريلي وسط</t>
  </si>
  <si>
    <t>ABG12261</t>
  </si>
  <si>
    <t>CR201</t>
  </si>
  <si>
    <t>ABG12121-03</t>
  </si>
  <si>
    <t>Z9553-64 :1</t>
  </si>
  <si>
    <t>ABG12261/WG-WF-WA\/Z9553-64</t>
  </si>
  <si>
    <t>Z9553-64</t>
  </si>
  <si>
    <t>قيد درب ريلي</t>
  </si>
  <si>
    <t>Z9553-66 :1</t>
  </si>
  <si>
    <t>ABG12261/WI-WG-WF-WA\/Z9553-66</t>
  </si>
  <si>
    <t>Z9553-66</t>
  </si>
  <si>
    <t>درب ريلي پايين</t>
  </si>
  <si>
    <t>Z12121-05 :1</t>
  </si>
  <si>
    <t>ABG12261/WI-WG-WF-WA\/Z12121-05</t>
  </si>
  <si>
    <t>Z12121-05</t>
  </si>
  <si>
    <t>درب لولايي كمد</t>
  </si>
  <si>
    <t>SM.BT/SI</t>
  </si>
  <si>
    <t>WF10611 / WA10611 :1</t>
  </si>
  <si>
    <t>ABG24657/AB10611-04/WF10611/WA10611</t>
  </si>
  <si>
    <t>WA10611</t>
  </si>
  <si>
    <t>صفحه کناري بزرگ 50*70</t>
  </si>
  <si>
    <t>مشکي سوپرمات 2/</t>
  </si>
  <si>
    <t>ABG24657</t>
  </si>
  <si>
    <t>AB10611-04</t>
  </si>
  <si>
    <t xml:space="preserve">WL3747 / WA3747-MO :1 ::S </t>
  </si>
  <si>
    <t>AB6447/AS5100/WK5100-02/WK5100-2/WK3747/WL3747/WF3747/WO3747/WA3747</t>
  </si>
  <si>
    <t>WA3747</t>
  </si>
  <si>
    <t>FL-TA سقف جلو باکس</t>
  </si>
  <si>
    <t>AS5100</t>
  </si>
  <si>
    <t xml:space="preserve">WL3747-01 / WA3747-MO :1 ::S </t>
  </si>
  <si>
    <t>AB6448/AS5948/WK5948-01/WK5948/WK3747-01/WL3747-01/WF3747-01/WO3747-01/WA3747</t>
  </si>
  <si>
    <t>AS5948</t>
  </si>
  <si>
    <t>AB6453/AS5100/WK5100-02/WK5100-2/WK3747/WL3747/WF3747/WO3747/WA3747</t>
  </si>
  <si>
    <t>WG3752 / WA3752 :1</t>
  </si>
  <si>
    <t>AB6447/AS5100/WK5100-02/WI3752/WG3752/WF3752/WA3752</t>
  </si>
  <si>
    <t>WA3752</t>
  </si>
  <si>
    <t>FL-TA درب سقف باکس</t>
  </si>
  <si>
    <t>AB6448/AS5948/WK5948-01/WI3752/WG3752/WF3752/WA3752</t>
  </si>
  <si>
    <t>AB6453/AS5100/WK5100-02/WI3752/WG3752/WF3752/WA3752</t>
  </si>
  <si>
    <t>WF3811 / WA3811 :1</t>
  </si>
  <si>
    <t>AB9076/WF3811/WA3811</t>
  </si>
  <si>
    <t>WA3811</t>
  </si>
  <si>
    <t>CO66-220*90 صفحه روي</t>
  </si>
  <si>
    <t>AB9076</t>
  </si>
  <si>
    <t>CO66</t>
  </si>
  <si>
    <t>WG3870 / WA3870 :1</t>
  </si>
  <si>
    <t>AB6447/AS5423/WK5423-02/WK5423-2/WI3870/WG3870/WF3870/WA3870</t>
  </si>
  <si>
    <t>WA3870</t>
  </si>
  <si>
    <t>FDH203-R درب سقف باکس</t>
  </si>
  <si>
    <t>AB6448/AS5946/WK5946-02/WK5946-2/WI3870/WG3870/WF3870/WA3870</t>
  </si>
  <si>
    <t>AB6453/AS5423/WK5423-02/WK5423-2/WI3870/WG3870/WF3870/WA3870</t>
  </si>
  <si>
    <t>WF3886 / WA3886 :1</t>
  </si>
  <si>
    <t>AB5084/WF3886/WA3886</t>
  </si>
  <si>
    <t>WA3886</t>
  </si>
  <si>
    <t>CT138-120*60 صفحه روي</t>
  </si>
  <si>
    <t>AB5084</t>
  </si>
  <si>
    <t>CT139</t>
  </si>
  <si>
    <t>WF3920 / WA3920 :1</t>
  </si>
  <si>
    <t>AB6389/WF3920/WA3920</t>
  </si>
  <si>
    <t>WA3920</t>
  </si>
  <si>
    <t>MA89-1-160-R صفحه روي</t>
  </si>
  <si>
    <t>AB6389</t>
  </si>
  <si>
    <t>ABG24657/AB10611-05/WF3921/WA3921</t>
  </si>
  <si>
    <t>AB10611-05</t>
  </si>
  <si>
    <t>ABG24657/AB10611-02/WG3922/WF3922/WA3922</t>
  </si>
  <si>
    <t>AB10611-02</t>
  </si>
  <si>
    <t>WG4149 / WA4149 :1</t>
  </si>
  <si>
    <t>AB6447/AS5100/WK5100-02/WI4149/WG4149/WF4149/WA4149</t>
  </si>
  <si>
    <t>WA4149</t>
  </si>
  <si>
    <t>FDN200 درب ريلي</t>
  </si>
  <si>
    <t>WG4149-01 / WA4149 :1</t>
  </si>
  <si>
    <t>AB6447/AS5100/WK5100-02/WI4149-01/WG4149-01/WF4149/WA4149</t>
  </si>
  <si>
    <t>AB6448/AS5948/WK5948-01/WI4149/WG4149/WF4149/WA4149</t>
  </si>
  <si>
    <t>AB6448/AS5948/WK5948-01/WI4149-01/WG4149-01/WF4149/WA4149</t>
  </si>
  <si>
    <t>AB6453/AS5100/WK5100-02/WI4149/WG4149/WF4149/WA4149</t>
  </si>
  <si>
    <t>AB6453/AS5100/WK5100-02/WI4149-01/WG4149-01/WF4149/WA4149</t>
  </si>
  <si>
    <t>WG4151 / WA4151 :1</t>
  </si>
  <si>
    <t>AB6447/AS5423/WK5423-02/WI4151/WG4151/WF4151/WA4151</t>
  </si>
  <si>
    <t>WA4151</t>
  </si>
  <si>
    <t>FDH203-R درب کمد</t>
  </si>
  <si>
    <t>WG4151-01 / WA4151 :1</t>
  </si>
  <si>
    <t>AB6448/AS5946/WK5946-02/WI4151-01/WG4151-01/WF4151/WA4151</t>
  </si>
  <si>
    <t>AB6453/AS5423/WK5423-02/WI4151/WG4151/WF4151/WA4151</t>
  </si>
  <si>
    <t>WG4152 / WA4152 :1</t>
  </si>
  <si>
    <t>AB6447/AS5423/WK5423-02/WI4152/WG4152/WF4152/WA4152</t>
  </si>
  <si>
    <t>WA4152</t>
  </si>
  <si>
    <t>FDH203-R درب کشو</t>
  </si>
  <si>
    <t>WG4152-01 / WA4152 :1</t>
  </si>
  <si>
    <t>AB6448/AS5946/WK5946-02/WI4152-01/WG4152-01/WF4152/WA4152</t>
  </si>
  <si>
    <t>AB6453/AS5423/WK5423-02/WI4152/WG4152/WF4152/WA4152</t>
  </si>
  <si>
    <t>WF4153 / WA4153-MO :1</t>
  </si>
  <si>
    <t>AB6447/AS5423/WK5423-02/WI4153/WF4153/WO4153/WA4153</t>
  </si>
  <si>
    <t>WA4153</t>
  </si>
  <si>
    <t>FDH203-R درب کشو بدون قفل فايل</t>
  </si>
  <si>
    <t>WF4153-01 / WA4153-MO :1</t>
  </si>
  <si>
    <t>AB6448/AS5946/WK5946-02/WI4153-01/WF4153-01/WO4153-01/WA4153</t>
  </si>
  <si>
    <t>AB6453/AS5423/WK5423-02/WI4153/WF4153/WO4153/WA4153</t>
  </si>
  <si>
    <t>WF4160 / WA4160 :1</t>
  </si>
  <si>
    <t>AB5073/WF4160/WA4160</t>
  </si>
  <si>
    <t>WA4160</t>
  </si>
  <si>
    <t>CT137-50*50 صفحه روي</t>
  </si>
  <si>
    <t>AB5073</t>
  </si>
  <si>
    <t>CT137</t>
  </si>
  <si>
    <t>WG4286 / WA4286 :1</t>
  </si>
  <si>
    <t>AB6447/AB5966/WG4286/WF4286/WA4286</t>
  </si>
  <si>
    <t>WA4286</t>
  </si>
  <si>
    <t>MA80-200-LR-SS صفحه تکه کناري</t>
  </si>
  <si>
    <t>AB5966</t>
  </si>
  <si>
    <t>WG4286-02 / WA4286 :1</t>
  </si>
  <si>
    <t>AB6448/AB9348/WG4286-02/WF4286/WA4286</t>
  </si>
  <si>
    <t>AB9348</t>
  </si>
  <si>
    <t>WG4286-1 / WA4286 :1</t>
  </si>
  <si>
    <t>AB6453/AB6453-01/WG4286-1/WF4286/WA4286</t>
  </si>
  <si>
    <t>AB6663/WG4286/WF4286/WA4286</t>
  </si>
  <si>
    <t>AB6663</t>
  </si>
  <si>
    <t>WG4286-03 / WA4286 :1</t>
  </si>
  <si>
    <t>AB9297/WG4286-03/WF4286/WA4286</t>
  </si>
  <si>
    <t>AB9297</t>
  </si>
  <si>
    <t>WG4288 / WA4288 :1</t>
  </si>
  <si>
    <t>AB6447/AB5966/WG4288/WF4288/WA4288</t>
  </si>
  <si>
    <t>WA4288</t>
  </si>
  <si>
    <t>MA80-180-R-SS+ML01-42 صفحه تکه بالايي</t>
  </si>
  <si>
    <t>WG4288-02 / WA4288 :1</t>
  </si>
  <si>
    <t>AB6448/AB9348/WG4288-02/WF4288/WA4288</t>
  </si>
  <si>
    <t>WG4288-01 / WA4288 :1</t>
  </si>
  <si>
    <t>AB6663/WG4288-01/WF4288/WA4288</t>
  </si>
  <si>
    <t>WG4288-03 / WA4288 :1</t>
  </si>
  <si>
    <t>AB9297/WG4288-03/WF4288/WA4288</t>
  </si>
  <si>
    <t>WG4390 / WA4390 :1</t>
  </si>
  <si>
    <t>AB6453/AB6453-01/WG4390/WF4390/WA4390</t>
  </si>
  <si>
    <t>WA4390</t>
  </si>
  <si>
    <t>چند تکه MA80-240-R-SS صفحه روي</t>
  </si>
  <si>
    <t>ABG24657/ABG24657-01/WF4408-06/WO4408-06/WA4408</t>
  </si>
  <si>
    <t>ABG24657-01</t>
  </si>
  <si>
    <t>WF9391-1 / WA9391-1 :1</t>
  </si>
  <si>
    <t>ABG24657/AB10611-04/WF9391-1/WA9391-1</t>
  </si>
  <si>
    <t>WA9391-1</t>
  </si>
  <si>
    <t>CE65-150-12 TO16+ ML07-71 صفحه وسط 30*70 س.م</t>
  </si>
  <si>
    <t>WFG3695-02 / WAG3695-02 :1</t>
  </si>
  <si>
    <t>AB5076/WFG3695-02/WAG3695-02</t>
  </si>
  <si>
    <t>WAG3695-02</t>
  </si>
  <si>
    <t>نما افقي با ابعاد 1.6*80*80</t>
  </si>
  <si>
    <t>AB5076</t>
  </si>
  <si>
    <t>WGG5773-04 / WAG5773-04 :1</t>
  </si>
  <si>
    <t>AB5107/AB5107-05/WGG5773-04/WFG5773-04/WAG5773-04</t>
  </si>
  <si>
    <t>WAG5773-04</t>
  </si>
  <si>
    <t>درب 67.9*65.1</t>
  </si>
  <si>
    <t>AB5107</t>
  </si>
  <si>
    <t>CR202</t>
  </si>
  <si>
    <t>AB5107-05</t>
  </si>
  <si>
    <t>WGG5773-4 / WAG5773-04 :1</t>
  </si>
  <si>
    <t>AB5107/AB5107-05/WGG5773-4/WFG5773-04/WAG5773-04</t>
  </si>
  <si>
    <t>WGG5773-1 / WAG5773-1 :1</t>
  </si>
  <si>
    <t>AB5107/AB5107-04/WGG5773-1/WFG5773-1/WAG5773-1</t>
  </si>
  <si>
    <t>WAG5773-1</t>
  </si>
  <si>
    <t>سقف باکس کردنزا سفارشي فست</t>
  </si>
  <si>
    <t>AB5107-04</t>
  </si>
  <si>
    <t>Z2765-20 :2</t>
  </si>
  <si>
    <t>NC007 M/BRANCO2</t>
  </si>
  <si>
    <t>AB11893/WG-WF-WA\/Z2765-20</t>
  </si>
  <si>
    <t>Z2765-20</t>
  </si>
  <si>
    <t>كف</t>
  </si>
  <si>
    <t>M.BK</t>
  </si>
  <si>
    <t>AS2765-02-Z</t>
  </si>
  <si>
    <t>Z2765-21</t>
  </si>
  <si>
    <t>AB11893/WI-WG-WF-WA\/Z2765-21</t>
  </si>
  <si>
    <t>بغل راست باكس كشودار</t>
  </si>
  <si>
    <t>Z2765-22 :1</t>
  </si>
  <si>
    <t>AB11893/WG-WF-WA\/Z2765-22</t>
  </si>
  <si>
    <t>Z2765-22</t>
  </si>
  <si>
    <t>ديوايدر</t>
  </si>
  <si>
    <t>Z2765-23 :1</t>
  </si>
  <si>
    <t>AB11893/WI-WG-WF-WA\/Z2765-23</t>
  </si>
  <si>
    <t>Z2765-23</t>
  </si>
  <si>
    <t>بغل چپ باكس كشودار</t>
  </si>
  <si>
    <t>Z2765-24 :1</t>
  </si>
  <si>
    <t>AB11893/WG-WF-WA\/Z2765-24</t>
  </si>
  <si>
    <t>Z2765-24</t>
  </si>
  <si>
    <t>بغل راست</t>
  </si>
  <si>
    <t>Z2765-25 :1</t>
  </si>
  <si>
    <t>AB11893/WG-WF-WA\/Z2765-25</t>
  </si>
  <si>
    <t>Z2765-25</t>
  </si>
  <si>
    <t>پشتي با ككو</t>
  </si>
  <si>
    <t>Z2765-26 :2</t>
  </si>
  <si>
    <t>AB11893/WG-WF-WA\/Z2765-26</t>
  </si>
  <si>
    <t>Z2765-26</t>
  </si>
  <si>
    <t>سقف</t>
  </si>
  <si>
    <t>Z2765-27 :1</t>
  </si>
  <si>
    <t>AB11893/WF-WA\/Z2765-27</t>
  </si>
  <si>
    <t>Z2765-27</t>
  </si>
  <si>
    <t>طبقه</t>
  </si>
  <si>
    <t>Z2765-30-MO :2</t>
  </si>
  <si>
    <t>AB11893/WI-WG-WF-WO-WA\/Z2765-30</t>
  </si>
  <si>
    <t>Z2765-30</t>
  </si>
  <si>
    <t>درب كشو قفل دار</t>
  </si>
  <si>
    <t>Z2765-35-MO :2</t>
  </si>
  <si>
    <t>AB11893/WG-WF-WO-WA\/Z2765-35</t>
  </si>
  <si>
    <t>Z2765-35</t>
  </si>
  <si>
    <t>درب كشو بدون قفل</t>
  </si>
  <si>
    <t>Z2765-50 :2</t>
  </si>
  <si>
    <t>AB11893/WG-WF-WA\/Z2765-50</t>
  </si>
  <si>
    <t>Z2765-50</t>
  </si>
  <si>
    <t>كف باكس</t>
  </si>
  <si>
    <t>AS2765-05-Z</t>
  </si>
  <si>
    <t>Z2765-51 :1</t>
  </si>
  <si>
    <t>AB11893/WG-WF-WA\/Z2765-51</t>
  </si>
  <si>
    <t>Z2765-51</t>
  </si>
  <si>
    <t>بغل چپ باكس</t>
  </si>
  <si>
    <t>Z2765-53 :1</t>
  </si>
  <si>
    <t>AB11893/WG-WF-WA\/Z2765-53</t>
  </si>
  <si>
    <t>Z2765-53</t>
  </si>
  <si>
    <t>بغل راست باكس</t>
  </si>
  <si>
    <t>Z2765-54 :1</t>
  </si>
  <si>
    <t>AB11893/WG-WF-WA\/Z2765-54</t>
  </si>
  <si>
    <t>Z2765-54</t>
  </si>
  <si>
    <t>ديوايدر چپي</t>
  </si>
  <si>
    <t>Z2765-55 :1</t>
  </si>
  <si>
    <t>AB11893/WG-WF-WA\/Z2765-55</t>
  </si>
  <si>
    <t>Z2765-55</t>
  </si>
  <si>
    <t>ديوايدر راستي</t>
  </si>
  <si>
    <t>Z2765-56 :2</t>
  </si>
  <si>
    <t>AB11893/WG-WF-WA\/Z2765-56</t>
  </si>
  <si>
    <t>Z2765-56</t>
  </si>
  <si>
    <t>سقف باكس</t>
  </si>
  <si>
    <t>Z2765-57</t>
  </si>
  <si>
    <t>AB11893/WF-WA\/Z2765-57</t>
  </si>
  <si>
    <t>Z2765-58 :2</t>
  </si>
  <si>
    <t>AB11893/WI-WG-WF-WA\/Z2765-58</t>
  </si>
  <si>
    <t>Z2765-58</t>
  </si>
  <si>
    <t>درب چپي</t>
  </si>
  <si>
    <t>AB2765-09</t>
  </si>
  <si>
    <t>Z2765-59 :2</t>
  </si>
  <si>
    <t>AB11893/WG-WF-WA\/Z2765-59</t>
  </si>
  <si>
    <t>Z2765-59</t>
  </si>
  <si>
    <t>درب راستي</t>
  </si>
  <si>
    <t>Z2765-52-KH</t>
  </si>
  <si>
    <t>AB11893/WG-WF-WA\/Z2765-52</t>
  </si>
  <si>
    <t>Z2765-52</t>
  </si>
  <si>
    <t>پشتي باكس</t>
  </si>
  <si>
    <t>برانكو 2/</t>
  </si>
  <si>
    <t>Z24669-01-MO :1</t>
  </si>
  <si>
    <t>NC007 M/CR112</t>
  </si>
  <si>
    <t>ABT24669/WF-WD-WO-WA\Z24669-001/Z24669-01</t>
  </si>
  <si>
    <t>Z24669-01</t>
  </si>
  <si>
    <t>صفحه روي  750*1200</t>
  </si>
  <si>
    <t>M.CR112</t>
  </si>
  <si>
    <t>ABT24669-11</t>
  </si>
  <si>
    <t>Z12017-035 :1</t>
  </si>
  <si>
    <t>NC007 M/MESHKI</t>
  </si>
  <si>
    <t>AB12017/WF-WA\/Z12017-035</t>
  </si>
  <si>
    <t>Z12017-035</t>
  </si>
  <si>
    <t>MA240 قيد عرضي</t>
  </si>
  <si>
    <t>M.BL</t>
  </si>
  <si>
    <t>Z12017-036 :1</t>
  </si>
  <si>
    <t>AB12017/WF-WA\/Z12017-036</t>
  </si>
  <si>
    <t>Z12017-036</t>
  </si>
  <si>
    <t>MA240 قيد طولي</t>
  </si>
  <si>
    <t>Z12017-17 :1</t>
  </si>
  <si>
    <t>AB12017/WG-WF-WA\/Z12017-17</t>
  </si>
  <si>
    <t>Z12017-17</t>
  </si>
  <si>
    <t>قيد طولي كف فايل</t>
  </si>
  <si>
    <t>AS12017-01</t>
  </si>
  <si>
    <t>AS12017-02</t>
  </si>
  <si>
    <t>Z12017-23</t>
  </si>
  <si>
    <t>AB12017/WG-WF-WA\/Z12017-23</t>
  </si>
  <si>
    <t>قيد طولي سقف فايل</t>
  </si>
  <si>
    <t>AB12017-41</t>
  </si>
  <si>
    <t>Z12121-02 :1</t>
  </si>
  <si>
    <t>ABG12261/WG-WF-WA\/Z12121-02</t>
  </si>
  <si>
    <t>Z12121-02</t>
  </si>
  <si>
    <t>ABG12121-05</t>
  </si>
  <si>
    <t>Z12121-03 :1</t>
  </si>
  <si>
    <t>ABG12261/WG-WF-WA\/Z12121-03</t>
  </si>
  <si>
    <t>Z12121-03</t>
  </si>
  <si>
    <t>ديوايدر بزرگ</t>
  </si>
  <si>
    <t>Z12121-04 :1</t>
  </si>
  <si>
    <t>ABG12261/WF-WA\/Z12121-04</t>
  </si>
  <si>
    <t>Z12121-04</t>
  </si>
  <si>
    <t>طبقه متحرك</t>
  </si>
  <si>
    <t>ABG12121-02</t>
  </si>
  <si>
    <t>Z12198-01 :1</t>
  </si>
  <si>
    <t>ABK20923/WG-WF-WA\/Z12198-01</t>
  </si>
  <si>
    <t>Z12198-01</t>
  </si>
  <si>
    <t>Z12198-02 :1</t>
  </si>
  <si>
    <t>ABK20923/WG-WF-WA\/Z12198-02</t>
  </si>
  <si>
    <t>Z12198-02</t>
  </si>
  <si>
    <t>Z12198-03 :1</t>
  </si>
  <si>
    <t>ABK20923/WI-WG-WF-WA\Z12198-001/Z12198-03</t>
  </si>
  <si>
    <t>Z12198-03</t>
  </si>
  <si>
    <t>Z12198-04-KH :1</t>
  </si>
  <si>
    <t>ABK20923/WG-WA\/Z12198-04</t>
  </si>
  <si>
    <t>Z12198-04</t>
  </si>
  <si>
    <t>Z12198-05 :1</t>
  </si>
  <si>
    <t>ABK20923/WG-WF-WA\/Z12198-05</t>
  </si>
  <si>
    <t>Z12198-05</t>
  </si>
  <si>
    <t>Z12198-06-MO :1</t>
  </si>
  <si>
    <t>ABK20923/WI-WG-WF-WO-WA\Z12198-001/Z12198-06</t>
  </si>
  <si>
    <t>Z12198-06</t>
  </si>
  <si>
    <t>ديوايدر وسط</t>
  </si>
  <si>
    <t>Z12198-08 :1</t>
  </si>
  <si>
    <t>ABK20923/WG-WF-WA\/Z12198-08</t>
  </si>
  <si>
    <t>Z12198-08</t>
  </si>
  <si>
    <t>Z12198-18 :1</t>
  </si>
  <si>
    <t>ABK20923/WI-WG-WF-WA\/Z12198-18</t>
  </si>
  <si>
    <t>Z12198-18</t>
  </si>
  <si>
    <t>درب كمد</t>
  </si>
  <si>
    <t>Z12198-21-MO :1</t>
  </si>
  <si>
    <t>ABK20923/WG-WF-WO-WA\/Z12198-21</t>
  </si>
  <si>
    <t>Z12198-21</t>
  </si>
  <si>
    <t>Z12198-28</t>
  </si>
  <si>
    <t>ABK20923/WF-WA\/Z12198-28</t>
  </si>
  <si>
    <t xml:space="preserve">Z15417-01 :1 ::S </t>
  </si>
  <si>
    <t>ABK20649/WG-WF-WL-WA\/Z15417-01</t>
  </si>
  <si>
    <t>Z15417-01</t>
  </si>
  <si>
    <t>FLMA79-R كف فايل</t>
  </si>
  <si>
    <t>ABK20649</t>
  </si>
  <si>
    <t>MA79-RIMA</t>
  </si>
  <si>
    <t>AS15417</t>
  </si>
  <si>
    <t>Z15417-02-MO</t>
  </si>
  <si>
    <t>ABK20649/WG-WF-WO-WA\/Z15417-02</t>
  </si>
  <si>
    <t>Z15417-02</t>
  </si>
  <si>
    <t>FLMA79-R پشتي فايل</t>
  </si>
  <si>
    <t>Z15417-03</t>
  </si>
  <si>
    <t>ABK20649/WI-WG-WF-WA\/Z15417-03</t>
  </si>
  <si>
    <t>FLMA79-R بغل راست فايل</t>
  </si>
  <si>
    <t>Z15417-04 :1</t>
  </si>
  <si>
    <t>ABK20649/WI-WG-WF-WA\/Z15417-04</t>
  </si>
  <si>
    <t>Z15417-04</t>
  </si>
  <si>
    <t>FLMA79-R ديوايدر سمت كشو فايل</t>
  </si>
  <si>
    <t>Z15417-05 :1</t>
  </si>
  <si>
    <t>ABK20649/WG-WF-WA\/Z15417-05</t>
  </si>
  <si>
    <t>Z15417-05</t>
  </si>
  <si>
    <t>FLMA79-R ديوايدر سمت كمد فايل</t>
  </si>
  <si>
    <t>Z15417-07 :1</t>
  </si>
  <si>
    <t>ABK20649/WG-WF-WA\/Z15417-07</t>
  </si>
  <si>
    <t>Z15417-07</t>
  </si>
  <si>
    <t>FLMA79-R نماي جلوي دكور فايل</t>
  </si>
  <si>
    <t>Z15417-08</t>
  </si>
  <si>
    <t>ABK20649/WF-WA\/Z15417-08</t>
  </si>
  <si>
    <t>FLMA79-R طبقه متحرك كمد فايل</t>
  </si>
  <si>
    <t>Z15417-09-MO :1</t>
  </si>
  <si>
    <t>ABK20649/WF-WO-WA\/Z15417-09</t>
  </si>
  <si>
    <t>Z15417-09</t>
  </si>
  <si>
    <t>FLMA79-R سقف فايل</t>
  </si>
  <si>
    <t>Z15417-10 :1</t>
  </si>
  <si>
    <t>ABK20649/WG-WF-WA\/Z15417-10</t>
  </si>
  <si>
    <t>Z15417-10</t>
  </si>
  <si>
    <t>FLMA79-R طبقه ثابت دكور فايل</t>
  </si>
  <si>
    <t xml:space="preserve">Z15427-06 :1 ::S </t>
  </si>
  <si>
    <t>ABK24645/WG-WF-WL-WA\/Z15427-06</t>
  </si>
  <si>
    <t>Z15427-06</t>
  </si>
  <si>
    <t>FD757 درب كشو پرونده خور فايل</t>
  </si>
  <si>
    <t xml:space="preserve">Z15427-07 :1 ::S </t>
  </si>
  <si>
    <t>ABK24645/WG-WF-WL-WA\/Z15427-07</t>
  </si>
  <si>
    <t>Z15427-07</t>
  </si>
  <si>
    <t>FD757 درب كشو وسط فايل</t>
  </si>
  <si>
    <t xml:space="preserve">Z15427-08 :1 ::S </t>
  </si>
  <si>
    <t>ABK24645/WG-WF-WL-WA\/Z15427-08</t>
  </si>
  <si>
    <t>Z15427-08</t>
  </si>
  <si>
    <t>FD757 درب كشو قفلدار فايل</t>
  </si>
  <si>
    <t>Z15427-15 :1</t>
  </si>
  <si>
    <t>ABK24645/WG-WF-WA\/Z15427-15</t>
  </si>
  <si>
    <t>Z15427-15</t>
  </si>
  <si>
    <t>FD757 پشت كشو پرونده خور</t>
  </si>
  <si>
    <t xml:space="preserve">Z15683-05-MO :1 ::S </t>
  </si>
  <si>
    <t>ABK20923/WI-WL-WF-WO-WA\Z15683/Z15683-05</t>
  </si>
  <si>
    <t>Z15683-05</t>
  </si>
  <si>
    <t>سقف جلو</t>
  </si>
  <si>
    <t>ASK15683</t>
  </si>
  <si>
    <t>Z16058-05-MO :2</t>
  </si>
  <si>
    <t>ABK24645/WF-WE-WD-WO-WA\/Z16058-05</t>
  </si>
  <si>
    <t>Z16058-05</t>
  </si>
  <si>
    <t>ديوايدر 350*1500 م م</t>
  </si>
  <si>
    <t>ABK16058-02</t>
  </si>
  <si>
    <t>Z17316-61-KH</t>
  </si>
  <si>
    <t>ABK20923/WM-WG-WA\/Z17316-61</t>
  </si>
  <si>
    <t>Z17316-61</t>
  </si>
  <si>
    <t>صفحه طولي نيم پايه</t>
  </si>
  <si>
    <t>ABG18804-05</t>
  </si>
  <si>
    <t>Z20649-01 :1</t>
  </si>
  <si>
    <t>ABK20649/WG-WF-WA\/Z20649-01</t>
  </si>
  <si>
    <t>Z20649-01</t>
  </si>
  <si>
    <t>ABK20649-01</t>
  </si>
  <si>
    <t>Z24628-01 :1</t>
  </si>
  <si>
    <t>AB24628/WG-WF-WA\/Z24628-01</t>
  </si>
  <si>
    <t>Z24628-01</t>
  </si>
  <si>
    <t>صفحه رو ميز كارمندي</t>
  </si>
  <si>
    <t>AB24628</t>
  </si>
  <si>
    <t>PR83-CLOCK2</t>
  </si>
  <si>
    <t>AB24628-03</t>
  </si>
  <si>
    <t>Z24628-17 :1</t>
  </si>
  <si>
    <t>AB24628/WG-WF-WA\Z24628-002/Z24628-17</t>
  </si>
  <si>
    <t>Z24628-17</t>
  </si>
  <si>
    <t>FL749-75-R كف فايل</t>
  </si>
  <si>
    <t>AS24628-02</t>
  </si>
  <si>
    <t>Z24628-21-MO :1</t>
  </si>
  <si>
    <t>AB24628/WI-WG-WF-WO-WA\Z24628-002/Z24628-21</t>
  </si>
  <si>
    <t>Z24628-21</t>
  </si>
  <si>
    <t>بغل چپ فايل</t>
  </si>
  <si>
    <t>Z24628-22 :1</t>
  </si>
  <si>
    <t>AB24628/WI-WG-WF-WA\Z24628-002/Z24628-22</t>
  </si>
  <si>
    <t>Z24628-22</t>
  </si>
  <si>
    <t>بغل ر است فايل</t>
  </si>
  <si>
    <t>Z24628-23 :1</t>
  </si>
  <si>
    <t>AB24628/WG-WF-WA\Z24628-001/Z24628-23</t>
  </si>
  <si>
    <t>Z24628-23</t>
  </si>
  <si>
    <t>كف فايل تك درب</t>
  </si>
  <si>
    <t>AS24628-01</t>
  </si>
  <si>
    <t>Z24628-24 :1</t>
  </si>
  <si>
    <t>AB24628/WG-WF-WA\Z24628-001/Z24628-24</t>
  </si>
  <si>
    <t>Z24628-24</t>
  </si>
  <si>
    <t>بغل چپ فايل تك درب</t>
  </si>
  <si>
    <t>Z24628-26 :1</t>
  </si>
  <si>
    <t>AB24628/WG-WF-WA\Z24628-001/Z24628-26</t>
  </si>
  <si>
    <t>Z24628-26</t>
  </si>
  <si>
    <t>بغل راست فايل تك درب</t>
  </si>
  <si>
    <t>Z24628-29-KH</t>
  </si>
  <si>
    <t>AB24628/WF-WA\Z24628-001/Z24628-29</t>
  </si>
  <si>
    <t>Z24628-29</t>
  </si>
  <si>
    <t>طبقه متحرك فايل تك درب</t>
  </si>
  <si>
    <t xml:space="preserve">Z5100-01 :1 ::S </t>
  </si>
  <si>
    <t>ABK20923/WG-WF-WL-WA\/Z5100-01</t>
  </si>
  <si>
    <t>Z5100-01</t>
  </si>
  <si>
    <t>كف كمد دودرب ريلي</t>
  </si>
  <si>
    <t>Z5100-02 :1</t>
  </si>
  <si>
    <t>ABK20923/WG-WF-WA\/Z5100-02</t>
  </si>
  <si>
    <t>Z5100-02</t>
  </si>
  <si>
    <t>Z5100-03-MO :1</t>
  </si>
  <si>
    <t>ABK20923/WG-WF-WO-WA\/Z5100-03</t>
  </si>
  <si>
    <t>Z5100-03</t>
  </si>
  <si>
    <t>پشتي</t>
  </si>
  <si>
    <t>Z5100-04 :1</t>
  </si>
  <si>
    <t>ABK20923/WG-WF-WA\/Z5100-04</t>
  </si>
  <si>
    <t>Z5100-04</t>
  </si>
  <si>
    <t>Z5100-06 :1</t>
  </si>
  <si>
    <t>ABK20923/WI-WG-WF-WA\/Z5100-06</t>
  </si>
  <si>
    <t>Z5100-06</t>
  </si>
  <si>
    <t>درب ريلي راست</t>
  </si>
  <si>
    <t>Z5100-07 :1</t>
  </si>
  <si>
    <t>ABK20923/WI-WG-WF-WA\/Z5100-07</t>
  </si>
  <si>
    <t>Z5100-07</t>
  </si>
  <si>
    <t>درب ريلي چپ</t>
  </si>
  <si>
    <t>Z5100-08-MO :1</t>
  </si>
  <si>
    <t>ABK20923/WG-WF-WO-WA\/Z5100-08</t>
  </si>
  <si>
    <t>Z5100-08</t>
  </si>
  <si>
    <t>Z5100-09 :1</t>
  </si>
  <si>
    <t>ABK20923/WG-WF-WA\/Z5100-09</t>
  </si>
  <si>
    <t>Z5100-09</t>
  </si>
  <si>
    <t>كف باكس سقف</t>
  </si>
  <si>
    <t>Z5100--10 :1</t>
  </si>
  <si>
    <t>ABK20923/WG-WF-WA\/Z5100--10</t>
  </si>
  <si>
    <t>Z5100--10</t>
  </si>
  <si>
    <t>قيد طولي باكس سقف</t>
  </si>
  <si>
    <t>Z5100-11 :1</t>
  </si>
  <si>
    <t>ABK20923/WI-WG-WF-WA\/Z5100-11</t>
  </si>
  <si>
    <t>Z5100-11</t>
  </si>
  <si>
    <t>درب سقف</t>
  </si>
  <si>
    <t>Z5100-14</t>
  </si>
  <si>
    <t>ABK20923/WF-WA\/Z5100-14</t>
  </si>
  <si>
    <t>Z9346-02-MO</t>
  </si>
  <si>
    <t>AS9346/WI-WG-WF-WO-WA\Z9436-001/Z9346-02</t>
  </si>
  <si>
    <t>Z9346-02</t>
  </si>
  <si>
    <t>بغل راست FD906-S</t>
  </si>
  <si>
    <t>Z9346-03</t>
  </si>
  <si>
    <t>AS9346/WI-WG-WF-WA\Z9436-001/Z9346-03</t>
  </si>
  <si>
    <t>بغل چپ FD906-S</t>
  </si>
  <si>
    <t>Z9553-51 :1</t>
  </si>
  <si>
    <t>ABG12261/WG-WF-WA\/Z9553-51</t>
  </si>
  <si>
    <t>Z9553-51</t>
  </si>
  <si>
    <t>Z9553-58-MO :1</t>
  </si>
  <si>
    <t>ABG12261/WG-WF-WO-WA\/Z9553-58</t>
  </si>
  <si>
    <t>Z9553-58</t>
  </si>
  <si>
    <t>طبقه ثابت بزرگ</t>
  </si>
  <si>
    <t>Z9553-59</t>
  </si>
  <si>
    <t>ABG12261/WG-WF-WA\/Z9553-59</t>
  </si>
  <si>
    <t>ديوايدر كوچك بالا</t>
  </si>
  <si>
    <t>Z9553-60</t>
  </si>
  <si>
    <t>ABG12261/WG-WF-WA\/Z9553-60</t>
  </si>
  <si>
    <t>ديوايدر كوچك پايين</t>
  </si>
  <si>
    <t>Z9553-65 :1</t>
  </si>
  <si>
    <t>ABG12261/WG-WF-WA\/Z9553-65</t>
  </si>
  <si>
    <t>Z9553-65</t>
  </si>
  <si>
    <t>Z12017-01 :1</t>
  </si>
  <si>
    <t>AB12017/WG-WF-WA\Z12017-001/Z12017-01</t>
  </si>
  <si>
    <t>Z12017-01</t>
  </si>
  <si>
    <t>كف فايل سه كشو</t>
  </si>
  <si>
    <t>M.BL-NAV BM</t>
  </si>
  <si>
    <t>Z12017-05 :1</t>
  </si>
  <si>
    <t>AB12017/WG-WF-WA\/Z12017-05</t>
  </si>
  <si>
    <t>Z12017-05</t>
  </si>
  <si>
    <t>سقف فايل سه كشو</t>
  </si>
  <si>
    <t>Z12017-41 :1</t>
  </si>
  <si>
    <t>AB12017/WG-WF-WA\Z12017-041/Z12017-41</t>
  </si>
  <si>
    <t>Z12017-41</t>
  </si>
  <si>
    <t>كف باكس كمد</t>
  </si>
  <si>
    <t>Z12017-45 :1</t>
  </si>
  <si>
    <t>AB12017/WG-WF-WA\Z12017-041/Z12017-45</t>
  </si>
  <si>
    <t>Z12017-45</t>
  </si>
  <si>
    <t>سقف باكس كمد</t>
  </si>
  <si>
    <t>Z9190-01 :1</t>
  </si>
  <si>
    <t>AS9346/WG-WF-WA\Z9190-001/Z9190-01</t>
  </si>
  <si>
    <t>Z9190-01</t>
  </si>
  <si>
    <t>کف فايل</t>
  </si>
  <si>
    <t>Z9553-53-MO :1</t>
  </si>
  <si>
    <t>ABG12261/WF-WO-WA\/Z9553-53</t>
  </si>
  <si>
    <t>Z9553-53</t>
  </si>
  <si>
    <t>ABG12121-01</t>
  </si>
  <si>
    <t>Z9553-54 :1</t>
  </si>
  <si>
    <t>ABG12261/WG-WF-WA\/Z9553-54</t>
  </si>
  <si>
    <t>Z9553-54</t>
  </si>
  <si>
    <t>پشتي پايين</t>
  </si>
  <si>
    <t>AB9553-03</t>
  </si>
  <si>
    <t>Z9553-55 :1</t>
  </si>
  <si>
    <t>ABG12261/WG-WF-WA\/Z9553-55</t>
  </si>
  <si>
    <t>Z9553-55</t>
  </si>
  <si>
    <t>پشتي بالا</t>
  </si>
  <si>
    <t>Z9553-56-MO :1</t>
  </si>
  <si>
    <t>ABG12261/WF-WO-WA\/Z9553-56</t>
  </si>
  <si>
    <t>Z9553-56</t>
  </si>
  <si>
    <t>Z12017-31-WR :2</t>
  </si>
  <si>
    <t>AB12017/WR-WA\Z12017-031/Z12017-31</t>
  </si>
  <si>
    <t>Z12017-31</t>
  </si>
  <si>
    <t>صفحه رو16 ميل100*220</t>
  </si>
  <si>
    <t>مشكي مات/</t>
  </si>
  <si>
    <t>Z15417-06-KH</t>
  </si>
  <si>
    <t>ABK20649/WG-WF-WA\/Z15417-06</t>
  </si>
  <si>
    <t>Z15417-06</t>
  </si>
  <si>
    <t>FLMA79-R ديوايدر سمت دكور فايل</t>
  </si>
  <si>
    <t>Z24628-18-KH</t>
  </si>
  <si>
    <t>AB24628/WG-WA\Z24628-002/Z24628-18</t>
  </si>
  <si>
    <t>Z24628-18</t>
  </si>
  <si>
    <t>FL749-75-R پشتي فايل</t>
  </si>
  <si>
    <t>Z24628-25-KH</t>
  </si>
  <si>
    <t>AB24628/WG-WA\Z24628-001/Z24628-25</t>
  </si>
  <si>
    <t>Z24628-25</t>
  </si>
  <si>
    <t>پشتي فايل تك درب</t>
  </si>
  <si>
    <t>Z9190-04-KH</t>
  </si>
  <si>
    <t>AS9346/WG-WA\/Z9190-04</t>
  </si>
  <si>
    <t>Z9190-04</t>
  </si>
  <si>
    <t>WG347 / WA347 :2</t>
  </si>
  <si>
    <t>AB1071/AB2276/WG347/WF347/WA347</t>
  </si>
  <si>
    <t>WA347</t>
  </si>
  <si>
    <t>C4.پنل 16*45*130جهت</t>
  </si>
  <si>
    <t>AB1071</t>
  </si>
  <si>
    <t>MARS</t>
  </si>
  <si>
    <t>CO04</t>
  </si>
  <si>
    <t>AB2276</t>
  </si>
  <si>
    <t xml:space="preserve">WG3744 / WA3744 :1 ::S </t>
  </si>
  <si>
    <t>AB6447/AS5100/WK5100-02/WK5100-2/WK3744/WG3744/WF3744/WL3744/WA3744</t>
  </si>
  <si>
    <t>WA3744</t>
  </si>
  <si>
    <t>FL-TA کف باکس</t>
  </si>
  <si>
    <t>AB6448/AS5948/WK5948-01/WK5948/WK3744/WG3744/WF3744/WL3744/WA3744</t>
  </si>
  <si>
    <t>AB6453/AS5100/WK5100-02/WK5100-2/WK3744/WG3744/WF3744/WL3744/WA3744</t>
  </si>
  <si>
    <t>WG3750 / WA3750 :1</t>
  </si>
  <si>
    <t>AB6447/AS5100/WK5100-02/WK5100-2/WG3750/WF3750/WA3750</t>
  </si>
  <si>
    <t>WA3750</t>
  </si>
  <si>
    <t>FL-TA صفحه زير سقف باکس</t>
  </si>
  <si>
    <t>AB6448/AS5948/WK5948-01/WK5948/WG3750/WF3750/WA3750</t>
  </si>
  <si>
    <t>AB6453/AS5100/WK5100-02/WK5100-2/WG3750/WF3750/WA3750</t>
  </si>
  <si>
    <t>WG3751 / WA3751 :1</t>
  </si>
  <si>
    <t>AB6447/AS5100/WK5100-02/WK5100-2/WG3751/WF3751/WA3751</t>
  </si>
  <si>
    <t>WA3751</t>
  </si>
  <si>
    <t>FL-TA قيد طولي باکس</t>
  </si>
  <si>
    <t>AB6448/AS5948/WK5948-01/WK5948/WG3751/WF3751/WA3751</t>
  </si>
  <si>
    <t>AB6453/AS5100/WK5100-02/WK5100-2/WG3751/WF3751/WA3751</t>
  </si>
  <si>
    <t>ABG24657/ABG24657-01/WG3833/WF3833/WQ3833/WA3833</t>
  </si>
  <si>
    <t>WG3867 / WA3867 :1</t>
  </si>
  <si>
    <t>AB6447/AS5423/WK5423-02/WK5423-2/WG3867/WF3867/WA3867</t>
  </si>
  <si>
    <t>WA3867</t>
  </si>
  <si>
    <t>FDH203-R کف باکس</t>
  </si>
  <si>
    <t>WG3867-03 / WA3867 :1</t>
  </si>
  <si>
    <t>AB6448/AS5946/WK5946-02/WK5946-2/WG3867-03/WF3867/WA3867</t>
  </si>
  <si>
    <t>AB6453/AS5423/WK5423-02/WK5423-2/WG3867/WF3867/WA3867</t>
  </si>
  <si>
    <t>WG3872 / WA3872 :1</t>
  </si>
  <si>
    <t>AB6447/AS5423/WK5423-02/WK5423-2/WG3872/WF3872/WA3872</t>
  </si>
  <si>
    <t>WA3872</t>
  </si>
  <si>
    <t>FDH203-R قيد طولي باکس</t>
  </si>
  <si>
    <t>AB6448/AS5946/WK5946-02/WK5946-2/WG3872/WF3872/WA3872</t>
  </si>
  <si>
    <t>AB6453/AS5423/WK5423-02/WK5423-2/WG3872/WF3872/WA3872</t>
  </si>
  <si>
    <t>WF3910 / WA3910 :1</t>
  </si>
  <si>
    <t>AB6447/AS5100/WK5100-02/WK5100-2/WF3910/WA3910</t>
  </si>
  <si>
    <t>WA3910</t>
  </si>
  <si>
    <t>FDN200 طبقه</t>
  </si>
  <si>
    <t>AB6448/AS5948/WK5948-01/WK5948/WF3910/WA3910</t>
  </si>
  <si>
    <t>AB6453/AS5100/WK5100-02/WK5100-2/WF3910/WA3910</t>
  </si>
  <si>
    <t>WF3911 / WA3911 :1</t>
  </si>
  <si>
    <t>AB6447/AS5423/WK5423-02/WK5423-2/WF3911/WA3911</t>
  </si>
  <si>
    <t>WA3911</t>
  </si>
  <si>
    <t>FDH203-R طبقه</t>
  </si>
  <si>
    <t>AB6448/AS5946/WK5946-02/WK5946-2/WF3911/WA3911</t>
  </si>
  <si>
    <t>AB6453/AS5423/WK5423-02/WK5423-2/WF3911/WA3911</t>
  </si>
  <si>
    <t>WG4146 / WA4146 :1</t>
  </si>
  <si>
    <t>AB6447/AS5100/WK5100-02/WK5100-2/WG4146/WF4146/WA4146</t>
  </si>
  <si>
    <t>WA4146</t>
  </si>
  <si>
    <t>FDN200 بغل باکس</t>
  </si>
  <si>
    <t>WG4146-01 / WA4146 :1</t>
  </si>
  <si>
    <t>AB6447/AS5100/WK5100-02/WK5100-2/WG4146-01/WF4146/WA4146</t>
  </si>
  <si>
    <t>WG4146-02 / WA4146 :1</t>
  </si>
  <si>
    <t>AB6448/AS5948/WK5948-01/WK5948/WG4146-02/WF4146/WA4146</t>
  </si>
  <si>
    <t>WG4146-2 / WA4146 :1</t>
  </si>
  <si>
    <t>AB6448/AS5948/WK5948-01/WK5948/WG4146-2/WF4146/WA4146</t>
  </si>
  <si>
    <t>AB6453/AS5100/WK5100-02/WK5100-2/WG4146/WF4146/WA4146</t>
  </si>
  <si>
    <t>AB6453/AS5100/WK5100-02/WK5100-2/WG4146-01/WF4146/WA4146</t>
  </si>
  <si>
    <t>WG4147 / WA4147-MO :1</t>
  </si>
  <si>
    <t>AB6447/AS5100/WK5100-02/WK5100-2/WG4147/WF4147/WO4147/WA4147</t>
  </si>
  <si>
    <t>WA4147</t>
  </si>
  <si>
    <t>FDN200 پشتي باکس</t>
  </si>
  <si>
    <t>WG4147-01 / WA4147-MO :1</t>
  </si>
  <si>
    <t>AB6448/AS5948/WK5948-01/WK5948/WG4147-01/WF4147-01/WO4147-01/WA4147</t>
  </si>
  <si>
    <t>AB6453/AS5100/WK5100-02/WK5100-2/WG4147/WF4147/WO4147/WA4147</t>
  </si>
  <si>
    <t>WG4148 / WA4148-MO :1</t>
  </si>
  <si>
    <t>AB6447/AS5100/WK5100-02/WK5100-2/WG4148/WF4148/WO4148/WA4148</t>
  </si>
  <si>
    <t>WA4148</t>
  </si>
  <si>
    <t>FDN200 ديوايدر وسط باکس</t>
  </si>
  <si>
    <t>AB6448/AS5948/WK5948-01/WK5948/WG4148/WF4148/WO4148/WA4148</t>
  </si>
  <si>
    <t>AB6453/AS5100/WK5100-02/WK5100-2/WG4148/WF4148/WO4148/WA4148</t>
  </si>
  <si>
    <t>WG4154 / WA4154 :1</t>
  </si>
  <si>
    <t>AB6447/AS5423/WK5423-02/WK5423-2/WG4154/WF4154/WA4154</t>
  </si>
  <si>
    <t>WA4154</t>
  </si>
  <si>
    <t>FDH203-R بغل باکس</t>
  </si>
  <si>
    <t>WG4154-01 / WA4154 :1</t>
  </si>
  <si>
    <t>AB6447/AS5423/WK5423-02/WK5423-2/WI4154-01/WG4154-01/WF4154/WA4154</t>
  </si>
  <si>
    <t>WG4154-1 / WA4154 :1</t>
  </si>
  <si>
    <t>AB6448/AS5946/WK5946-02/WK5946-2/WG4154-1/WF4154/WA4154</t>
  </si>
  <si>
    <t>AB6453/AS5423/WK5423-02/WK5423-2/WG4154/WF4154/WA4154</t>
  </si>
  <si>
    <t>AB6453/AS5423/WK5423-02/WK5423-2/WI4154-01/WG4154-01/WF4154/WA4154</t>
  </si>
  <si>
    <t>WG4155 / WA4155 :1</t>
  </si>
  <si>
    <t>AB6447/AS5423/WK5423-02/WK5423-2/WG4155/WF4155/WA4155</t>
  </si>
  <si>
    <t>WA4155</t>
  </si>
  <si>
    <t>FDH203-R پشتي باکس</t>
  </si>
  <si>
    <t>WG4155-02 / WA4155 :1</t>
  </si>
  <si>
    <t>AB6448/AS5946/WK5946-02/WK5946-2/WG4155-02/WF4155/WA4155</t>
  </si>
  <si>
    <t>AB6453/AS5423/WK5423-02/WK5423-2/WG4155/WF4155/WA4155</t>
  </si>
  <si>
    <t>WG4156 / WA4156-MO :1</t>
  </si>
  <si>
    <t>AB6447/AS5423/WK5423-02/WK5423-2/WI4156/WG4156/WF4156/WO4156/WA4156</t>
  </si>
  <si>
    <t>WA4156</t>
  </si>
  <si>
    <t>FDH203-R ديوايدر باکس</t>
  </si>
  <si>
    <t>WG4156-01 / WA4156-MO :1</t>
  </si>
  <si>
    <t>AB6448/AS5946/WK5946-02/WK5946-2/WI4156-01/WG4156-01/WF4156-01/WO4156-01/WA4156</t>
  </si>
  <si>
    <t>AB6453/AS5423/WK5423-02/WK5423-2/WI4156/WG4156/WF4156/WO4156/WA4156</t>
  </si>
  <si>
    <t>WG4163 / WA4163-MO :1</t>
  </si>
  <si>
    <t>AB6448/AS5946/WK5946-02/WK5946-2/WI4163/WG4163/WF4163/WO4163/WA4163</t>
  </si>
  <si>
    <t>WA4163</t>
  </si>
  <si>
    <t>FDH203-L بغل راستي باکس</t>
  </si>
  <si>
    <t>ABG24657/AB4255-02/WG4255/WF4255/WA4255</t>
  </si>
  <si>
    <t>WG5946-100 / WA5946-100 :1</t>
  </si>
  <si>
    <t>AB6447/AS5423/WK5423-02/WK5423-2/WG5946-100/WF5946-100/WA5946-100</t>
  </si>
  <si>
    <t>WA5946-100</t>
  </si>
  <si>
    <t>قيد16ميل اتصال مياني</t>
  </si>
  <si>
    <t>AB6448/AS5946/WK5946-02/WK5946-2/WG5946-100/WF5946-100/WA5946-100</t>
  </si>
  <si>
    <t>AB6453/AS5423/WK5423-02/WK5423-2/WG5946-100/WF5946-100/WA5946-100</t>
  </si>
  <si>
    <t>WG6006-100 / WA6006-100 :1</t>
  </si>
  <si>
    <t>AB6447/AS5423/WK5423-02/WK5423-2/WG6006-100/WF6006-100/WA6006-100</t>
  </si>
  <si>
    <t>WA6006-100</t>
  </si>
  <si>
    <t>قيد4سانتي</t>
  </si>
  <si>
    <t>AB6448/AS5946/WK5946-02/WK5946-2/WG6006-100/WF6006-100/WA6006-100</t>
  </si>
  <si>
    <t>AB6453/AS5423/WK5423-02/WK5423-2/WG6006-100/WF6006-100/WA6006-100</t>
  </si>
  <si>
    <t>WGG5773 / WAG5773-KH</t>
  </si>
  <si>
    <t>AB5107/AB5107-06/WGG5773/WAG5773</t>
  </si>
  <si>
    <t>WAG5773</t>
  </si>
  <si>
    <t>پشتي کردنزا سفارشي فست</t>
  </si>
  <si>
    <t>AB5107-06</t>
  </si>
  <si>
    <t>WGG5773-01 / WAG5773-01 :1</t>
  </si>
  <si>
    <t>AB5107/AB5107-04/WGG5773-01/WFG5773-01/WAG5773-01</t>
  </si>
  <si>
    <t>WAG5773-01</t>
  </si>
  <si>
    <t>کف باکس کردنزا سفارشي فست</t>
  </si>
  <si>
    <t>WGG5773-02 / WAG5773-02 :1</t>
  </si>
  <si>
    <t>AB5107/AB5107-06/WGG5773-02/WFG5773-02/WAG5773-02</t>
  </si>
  <si>
    <t>WAG5773-02</t>
  </si>
  <si>
    <t>بغل باکس کردنزا سفارشي فست</t>
  </si>
  <si>
    <t>WGG5773-03 / WAG5773-03 :1</t>
  </si>
  <si>
    <t>AB5107/AB5107-06/WGG5773-03/WFG5773-03/WAG5773-03</t>
  </si>
  <si>
    <t>WAG5773-03</t>
  </si>
  <si>
    <t>ديوايدر باکس کردنزا سفارشي فست</t>
  </si>
  <si>
    <t>WFG5773-05 / WAG5773-05 :1</t>
  </si>
  <si>
    <t>AB5107/AB5107-04/WFG5773-05/WAG5773-05</t>
  </si>
  <si>
    <t>WAG5773-05</t>
  </si>
  <si>
    <t>طبقه وسط کمد کردنزا سفارشي فست</t>
  </si>
  <si>
    <t>WFG5773-06 / WAG5773-06 :1</t>
  </si>
  <si>
    <t>AB5107/AB5107-04/WFG5773-06/WAG5773-06</t>
  </si>
  <si>
    <t>WAG5773-06</t>
  </si>
  <si>
    <t>طبقه کناري کمد کردنزا سفارشي فست</t>
  </si>
  <si>
    <t>Z19350-01-MO</t>
  </si>
  <si>
    <t>NC007 M/T72 BETON</t>
  </si>
  <si>
    <t>ABK20923/WX-WO-WA\/Z19350-01</t>
  </si>
  <si>
    <t>Z19350-01</t>
  </si>
  <si>
    <t>SM.BN111-BL</t>
  </si>
  <si>
    <t>ABK19350-010</t>
  </si>
  <si>
    <t>Z15417-11 :1</t>
  </si>
  <si>
    <t>NC007 M/WHITE MAAT</t>
  </si>
  <si>
    <t>ABK20649/WI-WG-WF-WA\/Z15417-11</t>
  </si>
  <si>
    <t>Z15417-11</t>
  </si>
  <si>
    <t>FLMA79-R درب ريلي چپي فايل</t>
  </si>
  <si>
    <t>M.WM</t>
  </si>
  <si>
    <t>Z15417-12 :1</t>
  </si>
  <si>
    <t>ABK20649/WI-WG-WF-WA\/Z15417-12</t>
  </si>
  <si>
    <t>Z15417-12</t>
  </si>
  <si>
    <t>FLMA79-R درب ريلي راست فايل</t>
  </si>
  <si>
    <t xml:space="preserve">Z15417-13 :1 ::S </t>
  </si>
  <si>
    <t>ABK20649/WG-WF-WL-WA\/Z15417-13</t>
  </si>
  <si>
    <t>Z15417-13</t>
  </si>
  <si>
    <t>FLMA79-R درب كشو قفلدار فايل</t>
  </si>
  <si>
    <t xml:space="preserve">Z15417-14 :1 ::S </t>
  </si>
  <si>
    <t>ABK20649/WG-WF-WL-WA\/Z15417-14</t>
  </si>
  <si>
    <t>Z15417-14</t>
  </si>
  <si>
    <t>FLMA79-R درب كشو بدون قفل فايل</t>
  </si>
  <si>
    <t>Z15761-02 :1</t>
  </si>
  <si>
    <t>ABK20649/WG-WF-WA\/Z15761-02</t>
  </si>
  <si>
    <t>Z15761-02</t>
  </si>
  <si>
    <t>پنل دستكي</t>
  </si>
  <si>
    <t>ABG15761-11</t>
  </si>
  <si>
    <t>Z18203-01 :1</t>
  </si>
  <si>
    <t>ABK18276/WG-WF-WA\/Z18203-01</t>
  </si>
  <si>
    <t>Z18203-01</t>
  </si>
  <si>
    <t>Z19890-03 :1</t>
  </si>
  <si>
    <t>ABK19890/WG-WF-WA\/Z19890-03</t>
  </si>
  <si>
    <t>Z19890-03</t>
  </si>
  <si>
    <t>پنل 1170س.م</t>
  </si>
  <si>
    <t>ABK19890</t>
  </si>
  <si>
    <t>ABK19890-01</t>
  </si>
  <si>
    <t>Z24628-02 :1</t>
  </si>
  <si>
    <t>AB24628/WG-WF-WA\/Z24628-02</t>
  </si>
  <si>
    <t>Z24628-02</t>
  </si>
  <si>
    <t>پنل</t>
  </si>
  <si>
    <t xml:space="preserve">Z24628-20 :1 ::S </t>
  </si>
  <si>
    <t>AB24628/WI-WG-WF-WL-WA\Z24628-002/Z24628-20</t>
  </si>
  <si>
    <t>Z24628-20</t>
  </si>
  <si>
    <t>FL749-75-R درب كشو قفل دار فايل</t>
  </si>
  <si>
    <t>Z24628-28 :1</t>
  </si>
  <si>
    <t>AB24628/WI-WG-WF-WA\Z24628-001/Z24628-28</t>
  </si>
  <si>
    <t>Z24628-28</t>
  </si>
  <si>
    <t>درب فايل تك درب</t>
  </si>
  <si>
    <t>Z14133-01 :1</t>
  </si>
  <si>
    <t>NC007 MANTRASIT 116/</t>
  </si>
  <si>
    <t>AB14133/WG-WF-WA\/Z14133-01</t>
  </si>
  <si>
    <t>Z14133-01</t>
  </si>
  <si>
    <t>صفحه پنل جلو</t>
  </si>
  <si>
    <t>M.AM116</t>
  </si>
  <si>
    <t>AB14133</t>
  </si>
  <si>
    <t>CU18</t>
  </si>
  <si>
    <t>AB14133-04</t>
  </si>
  <si>
    <t>Z14133-08 :1</t>
  </si>
  <si>
    <t>AB14133/WG-WF-WA\/Z14133-08</t>
  </si>
  <si>
    <t>Z14133-08</t>
  </si>
  <si>
    <t>صفحه رو ميز</t>
  </si>
  <si>
    <t>AB14133-01</t>
  </si>
  <si>
    <t>Z14133-09 :1</t>
  </si>
  <si>
    <t>AB14133/WG-WF-WA\/Z14133-09</t>
  </si>
  <si>
    <t>Z14133-09</t>
  </si>
  <si>
    <t>پنل كناري راستي</t>
  </si>
  <si>
    <t>AB14133-03</t>
  </si>
  <si>
    <t>Z14133-10 :1</t>
  </si>
  <si>
    <t>AB14133/WG-WF-WA\/Z14133-10</t>
  </si>
  <si>
    <t>Z14133-10</t>
  </si>
  <si>
    <t>پنل كناري چپي</t>
  </si>
  <si>
    <t>Z14133-16 :1</t>
  </si>
  <si>
    <t>AB14133/WG-WF-WA\/Z14133-16</t>
  </si>
  <si>
    <t>Z14133-16</t>
  </si>
  <si>
    <t>سقف كانتر</t>
  </si>
  <si>
    <t>AB14133-02</t>
  </si>
  <si>
    <t>Z14133-19-MO :2</t>
  </si>
  <si>
    <t>AB14133/WE-WD-WO-WA\/Z14133-19</t>
  </si>
  <si>
    <t>Z14133-19</t>
  </si>
  <si>
    <t>پنل نما</t>
  </si>
  <si>
    <t>Z14133-20 :1</t>
  </si>
  <si>
    <t>AB14133/WG-WF-WA\/Z14133-20</t>
  </si>
  <si>
    <t>Z14133-20</t>
  </si>
  <si>
    <t>كف كانتر</t>
  </si>
  <si>
    <t>Z14133-21-MO :1</t>
  </si>
  <si>
    <t>AB14133/WG-WF-WO-WA\/Z14133-21</t>
  </si>
  <si>
    <t>Z14133-21</t>
  </si>
  <si>
    <t>بغل راست كانتر</t>
  </si>
  <si>
    <t>Z14133-22-MO :1</t>
  </si>
  <si>
    <t>AB14133/WG-WF-WO-WA\/Z14133-22</t>
  </si>
  <si>
    <t>Z14133-22</t>
  </si>
  <si>
    <t>بغل چپ كانتر</t>
  </si>
  <si>
    <t>Z17809-20-MO :2</t>
  </si>
  <si>
    <t>ABT24669/WF-WE-WD--WO-WA\/Z17809-20</t>
  </si>
  <si>
    <t>Z17809-20</t>
  </si>
  <si>
    <t>ديوايدر 35*140 س.م</t>
  </si>
  <si>
    <t>ABT24669-03</t>
  </si>
  <si>
    <t>AS9346/WG-WF-WA\/Z9190-01</t>
  </si>
  <si>
    <t>AS9346/WI-WG-WF-WO-WA\/Z9346-02</t>
  </si>
  <si>
    <t>AS9346/WI-WG-WF-WA\/Z9346-03</t>
  </si>
  <si>
    <t>Z14133-17-MO</t>
  </si>
  <si>
    <t>AB14133/WG-WO-WA\/Z14133-17</t>
  </si>
  <si>
    <t>Z14133-17</t>
  </si>
  <si>
    <t>صفحه نگهدارنده پايين</t>
  </si>
  <si>
    <t>آنتراسيت 116/</t>
  </si>
  <si>
    <t>Z14133-18-MO</t>
  </si>
  <si>
    <t>AB14133/WG-WO-WA\/Z14133-18</t>
  </si>
  <si>
    <t>Z14133-18</t>
  </si>
  <si>
    <t>صفحه نگهدارنده بالا</t>
  </si>
  <si>
    <t>WFG2651-02 / WAG2651-02 :1</t>
  </si>
  <si>
    <t>AB5085/WFG2651-02/WAG2651-02</t>
  </si>
  <si>
    <t>WAG2651-02</t>
  </si>
  <si>
    <t>صفحه با ابعاد 1.6*50*70</t>
  </si>
  <si>
    <t>AB5085</t>
  </si>
  <si>
    <t>Z19890-01 :1</t>
  </si>
  <si>
    <t>NC007 MCAPOUCHINO MAT 114 /</t>
  </si>
  <si>
    <t>ABK19890/WG-WF-WA\/Z19890-01</t>
  </si>
  <si>
    <t>Z19890-01</t>
  </si>
  <si>
    <t>صفحه رو 16 ميل 60*140 س.م</t>
  </si>
  <si>
    <t>M.CA114</t>
  </si>
  <si>
    <t>Z11893-05 :2</t>
  </si>
  <si>
    <t>NC007 MMESHKI SYNK 112 /</t>
  </si>
  <si>
    <t>AB11893/WG-WF-WA\/Z11893-05</t>
  </si>
  <si>
    <t>Z11893-05</t>
  </si>
  <si>
    <t>درب</t>
  </si>
  <si>
    <t>M.BS112</t>
  </si>
  <si>
    <t>AB11893-01</t>
  </si>
  <si>
    <t>Z12017-06-MO :1</t>
  </si>
  <si>
    <t>AB12017/WI-WG-WF-WO-WA\/Z12017-06</t>
  </si>
  <si>
    <t>Z12017-06</t>
  </si>
  <si>
    <t>درب كشو قفلدار فايل سه كشو</t>
  </si>
  <si>
    <t>Z12017-07-MO :1</t>
  </si>
  <si>
    <t>AB12017/WI-WF-WO-WA\/Z12017-07</t>
  </si>
  <si>
    <t>Z12017-07</t>
  </si>
  <si>
    <t>درب كشو بدون قفل فايل سه كشو</t>
  </si>
  <si>
    <t>Z12017-50 :1</t>
  </si>
  <si>
    <t>AB12017/WI-WG-WF-WA\/Z12017-50</t>
  </si>
  <si>
    <t>Z12017-50</t>
  </si>
  <si>
    <t>درب باكس كمد</t>
  </si>
  <si>
    <t>Z12017-02 :1</t>
  </si>
  <si>
    <t>NC007 MMESHKI TARH SANG 2 (TISAN 128)/</t>
  </si>
  <si>
    <t>AB12017/WI-WG-WF-WA\/Z12017-02</t>
  </si>
  <si>
    <t>Z12017-02</t>
  </si>
  <si>
    <t>بغل چپ فايل سه كشو</t>
  </si>
  <si>
    <t>M.TB</t>
  </si>
  <si>
    <t>Z12017-03-MO :1</t>
  </si>
  <si>
    <t>AB12017/WI-WG-WF-WO-WA\/Z12017-03</t>
  </si>
  <si>
    <t>Z12017-03</t>
  </si>
  <si>
    <t>بغل راست فايل سه كشو</t>
  </si>
  <si>
    <t>Z12017-42 :1</t>
  </si>
  <si>
    <t>AB12017/WG-WF-WA\/Z12017-42</t>
  </si>
  <si>
    <t>Z12017-42</t>
  </si>
  <si>
    <t>بغل چپ باكس كمد</t>
  </si>
  <si>
    <t>Z12017-43 :1</t>
  </si>
  <si>
    <t>AB12017/WG-WF-WA\/Z12017-43</t>
  </si>
  <si>
    <t>Z12017-43</t>
  </si>
  <si>
    <t>بغل راست باكس كمد</t>
  </si>
  <si>
    <t>Z12017-04-KH</t>
  </si>
  <si>
    <t>AB12017/WG-WA\/Z12017-04</t>
  </si>
  <si>
    <t>Z12017-04</t>
  </si>
  <si>
    <t>پشتي فايل سه كشو</t>
  </si>
  <si>
    <t>مشکي طرح سنگ 2 /</t>
  </si>
  <si>
    <t>Z12017-44-KH</t>
  </si>
  <si>
    <t>AB12017/WG-WA\Z12017-041/Z12017-44</t>
  </si>
  <si>
    <t>Z12017-44</t>
  </si>
  <si>
    <t>پشتي باكس كمد</t>
  </si>
  <si>
    <t>WG4289 / WA4289-MO</t>
  </si>
  <si>
    <t>NC007 N*LETRON SEFID</t>
  </si>
  <si>
    <t>AB6447/AB5966/WG4289/WV4289/WO4289/WA4289</t>
  </si>
  <si>
    <t>WA4289</t>
  </si>
  <si>
    <t>MA80-180-R-SS+ML01-42 صفحه با روکش چرم</t>
  </si>
  <si>
    <t>لترون سفيد صابوني*</t>
  </si>
  <si>
    <t>WG4289-02 / WA4289-MO</t>
  </si>
  <si>
    <t>AB6448/AB9348/WG4289-02/WV4289/WO4289/WA4289</t>
  </si>
  <si>
    <t>WG4289-01 / WA4289-MO</t>
  </si>
  <si>
    <t>AB6663/WG4289-01/WV4289/WO4289/WA4289</t>
  </si>
  <si>
    <t>WG4289-03 / WA4289-MO</t>
  </si>
  <si>
    <t>AB9297/WG4289-03/WV4289/WO4289/WA4289</t>
  </si>
  <si>
    <t>WG331 / WA331 :2</t>
  </si>
  <si>
    <t>NC008 M/MESHKI</t>
  </si>
  <si>
    <t>AB1071/AB2276/WK331/WG331/WF331/WA331</t>
  </si>
  <si>
    <t>WA331</t>
  </si>
  <si>
    <t>C4.پايه</t>
  </si>
  <si>
    <t>WH446 / WA446-MO :2</t>
  </si>
  <si>
    <t>AB1071/AB2277/WH446/WF446/WE446/WD446/WC446/WB446/WA446</t>
  </si>
  <si>
    <t>WA446</t>
  </si>
  <si>
    <t>صفحه روي C4-8</t>
  </si>
  <si>
    <t>AB2277</t>
  </si>
  <si>
    <t xml:space="preserve">Z11893-07 :2 ::S </t>
  </si>
  <si>
    <t>NC008 MMESHKI SYNK 112 /</t>
  </si>
  <si>
    <t>AB11893/WI-WM-WG-WL-WF-WA\/Z11893-07</t>
  </si>
  <si>
    <t>Z11893-07</t>
  </si>
  <si>
    <t>AB11893-07</t>
  </si>
  <si>
    <t xml:space="preserve">Z2765-08 :2 ::S </t>
  </si>
  <si>
    <t>AB11893/WI-WM-WG-WL-WF-WA\/Z2765-08</t>
  </si>
  <si>
    <t>Z2765-08</t>
  </si>
  <si>
    <t>پنل كناري</t>
  </si>
  <si>
    <t>AB2765-05</t>
  </si>
  <si>
    <t>Z12017-34-MO</t>
  </si>
  <si>
    <t>NC016 M/MESHKI</t>
  </si>
  <si>
    <t>AB12017/WO-WA\Z12017-034/Z12017-34</t>
  </si>
  <si>
    <t>Z12017-34</t>
  </si>
  <si>
    <t>پنل 35*107</t>
  </si>
  <si>
    <t>Z15408-10-KH</t>
  </si>
  <si>
    <t>NC019 White</t>
  </si>
  <si>
    <t>AS15413/WA\/Z15408-10</t>
  </si>
  <si>
    <t>Z15408-10</t>
  </si>
  <si>
    <t>FD760 فيبر كف كشو فايل</t>
  </si>
  <si>
    <t>سفيد</t>
  </si>
  <si>
    <t>Z15417-17-KH</t>
  </si>
  <si>
    <t>ABK20649/WA\/Z15417-17</t>
  </si>
  <si>
    <t>Z15417-17</t>
  </si>
  <si>
    <t>FLMA79-R فيبر كف كشو</t>
  </si>
  <si>
    <t>Z15427-11-KH</t>
  </si>
  <si>
    <t>ABK24645/WA\/Z15427-11</t>
  </si>
  <si>
    <t>Z15427-11</t>
  </si>
  <si>
    <t>FD757 فيبر 3 ميل كف كشو بالا</t>
  </si>
  <si>
    <t>Z15427-16-KH</t>
  </si>
  <si>
    <t>ABK24645/WA\/Z15427-16</t>
  </si>
  <si>
    <t>Z15427-16</t>
  </si>
  <si>
    <t>FD757 فيبر 3 ميل كف كشو پرونده خور</t>
  </si>
  <si>
    <t>Z15429-09-KH</t>
  </si>
  <si>
    <t>AB24628/WA\/Z15429-09</t>
  </si>
  <si>
    <t>Z15429-09</t>
  </si>
  <si>
    <t>FL749-60-R فيبر كف كشو</t>
  </si>
  <si>
    <t>Z9190-90-KH</t>
  </si>
  <si>
    <t>AS9346/WA\/Z9190-90</t>
  </si>
  <si>
    <t>Z9190-90</t>
  </si>
  <si>
    <t>کف کشو</t>
  </si>
  <si>
    <t>WV3674-01 / WA3674-KH</t>
  </si>
  <si>
    <t>NC028 M/BEDONE ROKSH</t>
  </si>
  <si>
    <t>AB6447/AS5423/WK5423-02/WI4153/WI3866/WV3674-01/WA3674</t>
  </si>
  <si>
    <t>WA3674</t>
  </si>
  <si>
    <t>MA78-220-R کف کشو پايين فايل ميز</t>
  </si>
  <si>
    <t>AB6448/AS5946/WK5946-02/WI4153-01/WI3866/WV3674-01/WA3674</t>
  </si>
  <si>
    <t>AB6453/AS5423/WK5423-02/WI4153/WI3866/WV3674-01/WA3674</t>
  </si>
  <si>
    <t>Z11893-04-KH :2</t>
  </si>
  <si>
    <t>NC028 M/BRANCO2</t>
  </si>
  <si>
    <t>AB11893/WA\/Z11893-04</t>
  </si>
  <si>
    <t>Z11893-04</t>
  </si>
  <si>
    <t>صفحه رو ي لبه</t>
  </si>
  <si>
    <t>Z2765-02 :2</t>
  </si>
  <si>
    <t>AB11893/WA\Z2765-002/Z2765-02</t>
  </si>
  <si>
    <t>Z2765-02</t>
  </si>
  <si>
    <t>صفحه كناري چپي</t>
  </si>
  <si>
    <t>Z2765-03 :2</t>
  </si>
  <si>
    <t>AB11893/WA\Z2765-003/Z2765-03</t>
  </si>
  <si>
    <t>Z2765-03</t>
  </si>
  <si>
    <t>صفحه كناري راستي</t>
  </si>
  <si>
    <t>Z12198-11-KH</t>
  </si>
  <si>
    <t>NC028 M/MESHKI</t>
  </si>
  <si>
    <t>ABK20923/WV-WA\/Z12198-11</t>
  </si>
  <si>
    <t>Z12198-11</t>
  </si>
  <si>
    <t>كف كشو پايين</t>
  </si>
  <si>
    <t>Z12017-13-KH</t>
  </si>
  <si>
    <t>AB12017/WA\/Z12017-13</t>
  </si>
  <si>
    <t>Z12017-13</t>
  </si>
  <si>
    <t>کف کشو 8 ميل فايل سه کشو</t>
  </si>
  <si>
    <t>Z11893-01-WR :2</t>
  </si>
  <si>
    <t>NC028 MMESHKI SYNK 112 /</t>
  </si>
  <si>
    <t>AB11893/WA\Z11893-001/Z11893-01</t>
  </si>
  <si>
    <t>Z11893-01</t>
  </si>
  <si>
    <t>صفحه وسط</t>
  </si>
  <si>
    <t>مشکي سينک 112/</t>
  </si>
  <si>
    <t>Z2765-33-KH</t>
  </si>
  <si>
    <t>NC028 N*LETRON SEFID</t>
  </si>
  <si>
    <t>AB11893/WV-WA\/Z2765-33</t>
  </si>
  <si>
    <t>Z2765-33</t>
  </si>
  <si>
    <t>كف كشو</t>
  </si>
  <si>
    <t>Z10702-07 :1</t>
  </si>
  <si>
    <t>AB10702/WG-WF-WA\/Z10702-07</t>
  </si>
  <si>
    <t>Z10702-07</t>
  </si>
  <si>
    <t>قيد زير پيشخوان</t>
  </si>
  <si>
    <t xml:space="preserve">Z15408-08 :1 ::S </t>
  </si>
  <si>
    <t>AS15413/WG-WF-WL-WA\/Z15408-08</t>
  </si>
  <si>
    <t>Z15408-08</t>
  </si>
  <si>
    <t>FD760 بغل راست كشو فايل</t>
  </si>
  <si>
    <t xml:space="preserve">Z15408-09 :1 ::S </t>
  </si>
  <si>
    <t>AS15413/WG-WF-WL-WA\/Z15408-09</t>
  </si>
  <si>
    <t>Z15408-09</t>
  </si>
  <si>
    <t>FD760 بغل چپ كشو فايل</t>
  </si>
  <si>
    <t>Z15408-11 :1</t>
  </si>
  <si>
    <t>AS15413/WG-WF-WA\/Z15408-11</t>
  </si>
  <si>
    <t>Z15408-11</t>
  </si>
  <si>
    <t>FD760 پشتي كشو فايل</t>
  </si>
  <si>
    <t>Z15427-05 :1</t>
  </si>
  <si>
    <t>ABK24645/WG-WF-WA\/Z15427-05</t>
  </si>
  <si>
    <t>Z15427-05</t>
  </si>
  <si>
    <t>FD757 قيد سقف فايل</t>
  </si>
  <si>
    <t xml:space="preserve">Z9505-12 :1 ::S </t>
  </si>
  <si>
    <t>AS9532/WM-WL-WF-WA\/Z9505-12</t>
  </si>
  <si>
    <t>Z9505-12</t>
  </si>
  <si>
    <t>قاب عرضي درب كمد</t>
  </si>
  <si>
    <t>WF5091 / WA5091 :1</t>
  </si>
  <si>
    <t>AB5091/AB5091-01/WF5091/WA5091</t>
  </si>
  <si>
    <t>WA5091</t>
  </si>
  <si>
    <t>CO69-180*180-8 صفخه وسط</t>
  </si>
  <si>
    <t>Z11893-4-KH :2</t>
  </si>
  <si>
    <t>AB11893/WA\/Z11893-4</t>
  </si>
  <si>
    <t>Z11893-4</t>
  </si>
  <si>
    <t>چيدمان قيد صفحه رو ي لبه</t>
  </si>
  <si>
    <t>Z11893-1-KH :2</t>
  </si>
  <si>
    <t>AB11893/WA\/Z11893-1</t>
  </si>
  <si>
    <t>Z11893-1</t>
  </si>
  <si>
    <t>چيدمان قيد صفحه وسط</t>
  </si>
  <si>
    <t>Z9361-04-KH</t>
  </si>
  <si>
    <t>ABH24558/WA\Z9361-0001/Z9361-04</t>
  </si>
  <si>
    <t>Z9361-04</t>
  </si>
  <si>
    <t>قاب عرضي كف باكس يكنفره</t>
  </si>
  <si>
    <t>ABH24559/WA\Z9361-0001/Z9361-04</t>
  </si>
  <si>
    <t>Z2765-10 :2</t>
  </si>
  <si>
    <t>AB11893/WG-WF-WA\/Z2765-10</t>
  </si>
  <si>
    <t>Z2765-10</t>
  </si>
  <si>
    <t>صفحه نگهدارنده مگنت درب</t>
  </si>
  <si>
    <t>Z2765-31</t>
  </si>
  <si>
    <t>AB11893/WG-WF-WL-WA\/Z2765-31</t>
  </si>
  <si>
    <t>بغل چپ كشو</t>
  </si>
  <si>
    <t xml:space="preserve">Z2765-32 :1 ::S </t>
  </si>
  <si>
    <t>AB11893/WG-WF-WL-WA\/Z2765-32</t>
  </si>
  <si>
    <t>Z2765-32</t>
  </si>
  <si>
    <t>بغل راست كشو</t>
  </si>
  <si>
    <t>Z2765-34</t>
  </si>
  <si>
    <t>AB11893/WG-WF-WA\/Z2765-34</t>
  </si>
  <si>
    <t>پشت كشو</t>
  </si>
  <si>
    <t xml:space="preserve">Z12017-09 :1 ::S </t>
  </si>
  <si>
    <t>AB12017/WG-WF-WL-WA\/Z12017-09</t>
  </si>
  <si>
    <t>Z12017-09</t>
  </si>
  <si>
    <t>بغل راست كشو پايين</t>
  </si>
  <si>
    <t xml:space="preserve">Z12017-10 :1 ::S </t>
  </si>
  <si>
    <t>AB12017/WG-WF-WL-WA\/Z12017-10</t>
  </si>
  <si>
    <t>Z12017-10</t>
  </si>
  <si>
    <t>بغل چپ كشو پايين</t>
  </si>
  <si>
    <t xml:space="preserve">Z12017-11 :1 ::S </t>
  </si>
  <si>
    <t>AB12017/WG-WF-WL-WA\/Z12017-11</t>
  </si>
  <si>
    <t>Z12017-11</t>
  </si>
  <si>
    <t>بغل راست كشو بالا</t>
  </si>
  <si>
    <t xml:space="preserve">Z12017-12 :1 ::S </t>
  </si>
  <si>
    <t>AB12017/WG-WF-WL-WA\/Z12017-12</t>
  </si>
  <si>
    <t>Z12017-12</t>
  </si>
  <si>
    <t>بغل چپ كشو بالا</t>
  </si>
  <si>
    <t>Z12017-14 :1</t>
  </si>
  <si>
    <t>AB12017/WG-WF-WA\/Z12017-14</t>
  </si>
  <si>
    <t>Z12017-14</t>
  </si>
  <si>
    <t>پشت كشو بالا</t>
  </si>
  <si>
    <t>Z12017-16 :1</t>
  </si>
  <si>
    <t>AB12017/WG-WF-WA\/Z12017-16</t>
  </si>
  <si>
    <t>Z12017-16</t>
  </si>
  <si>
    <t>پشت كشو پايين</t>
  </si>
  <si>
    <t>Z12017-18 :1</t>
  </si>
  <si>
    <t>AB12017/WG-WF-WA\/Z12017-18</t>
  </si>
  <si>
    <t>Z12017-18</t>
  </si>
  <si>
    <t>قيد عرضي كف فايل</t>
  </si>
  <si>
    <t>Z12017-24</t>
  </si>
  <si>
    <t>AB12017/WG-WF-WA\/Z12017-24</t>
  </si>
  <si>
    <t>Z12198-09 :1</t>
  </si>
  <si>
    <t>ABK20923/WG-WF-WA\/Z12198-09</t>
  </si>
  <si>
    <t>Z12198-09</t>
  </si>
  <si>
    <t>Z12198-10 :1</t>
  </si>
  <si>
    <t>ABK20923/WG-WF-WA\/Z12198-10</t>
  </si>
  <si>
    <t>Z12198-10</t>
  </si>
  <si>
    <t>Z12198-12 :1</t>
  </si>
  <si>
    <t>ABK20923/WG-WF-WA\/Z12198-12</t>
  </si>
  <si>
    <t>Z12198-12</t>
  </si>
  <si>
    <t>Z12198-13 :1</t>
  </si>
  <si>
    <t>ABK20923/WG-WF-WA\/Z12198-13</t>
  </si>
  <si>
    <t>Z12198-13</t>
  </si>
  <si>
    <t>بغل چپ کشو بالا</t>
  </si>
  <si>
    <t>Z12198-14 :1</t>
  </si>
  <si>
    <t>ABK20923/WG-WF-WA\/Z12198-14</t>
  </si>
  <si>
    <t>Z12198-14</t>
  </si>
  <si>
    <t>Z12198-16 :1</t>
  </si>
  <si>
    <t>ABK20923/WG-WF-WA\/Z12198-16</t>
  </si>
  <si>
    <t>Z12198-16</t>
  </si>
  <si>
    <t xml:space="preserve">Z15427-09 :1 ::S </t>
  </si>
  <si>
    <t>ABK24645/WG-WF-WL-WA\/Z15427-09</t>
  </si>
  <si>
    <t>Z15427-09</t>
  </si>
  <si>
    <t>FD757 بغل راست كشو بالا</t>
  </si>
  <si>
    <t xml:space="preserve">Z15427-10 :1 ::S </t>
  </si>
  <si>
    <t>ABK24645/WG-WF-WL-WA\/Z15427-10</t>
  </si>
  <si>
    <t>Z15427-10</t>
  </si>
  <si>
    <t>FD757 بغل چپ كشو بالا</t>
  </si>
  <si>
    <t>Z15427-12 :1</t>
  </si>
  <si>
    <t>ABK24645/WG-WF-WA\/Z15427-12</t>
  </si>
  <si>
    <t>Z15427-12</t>
  </si>
  <si>
    <t>FD757 پشت كشو بالا</t>
  </si>
  <si>
    <t xml:space="preserve">Z15427-13 :1 ::S </t>
  </si>
  <si>
    <t>ABK24645/WG-WF-WL-WA\/Z15427-13</t>
  </si>
  <si>
    <t>Z15427-13</t>
  </si>
  <si>
    <t>FD757 بغل راست كشو پرونده خور</t>
  </si>
  <si>
    <t xml:space="preserve">Z15427-14 :1 ::S </t>
  </si>
  <si>
    <t>ABK24645/WG-WF-WL-WA\/Z15427-14</t>
  </si>
  <si>
    <t>Z15427-14</t>
  </si>
  <si>
    <t>FD757 بغل چپ كشو پرونده خور</t>
  </si>
  <si>
    <t>Z17316-59 :1</t>
  </si>
  <si>
    <t>ABK20923/WG-WF-WM-WA\/Z17316-59</t>
  </si>
  <si>
    <t>Z17316-59</t>
  </si>
  <si>
    <t>صفحه عرضي چپي نيم پايه</t>
  </si>
  <si>
    <t>Z17316-60 :1</t>
  </si>
  <si>
    <t>ABK20923/WG-WF-WM-WA\/Z17316-60</t>
  </si>
  <si>
    <t>Z17316-60</t>
  </si>
  <si>
    <t>صفحه عرضي راستي نيم پايه</t>
  </si>
  <si>
    <t>Z24628-27-KH</t>
  </si>
  <si>
    <t>AB24628/WG-WA\Z24628-001/Z24628-27</t>
  </si>
  <si>
    <t>Z24628-27</t>
  </si>
  <si>
    <t>قيد سقف فايل تك درب</t>
  </si>
  <si>
    <t>Z9190-100 :1</t>
  </si>
  <si>
    <t>AS9346/WG-WF-WA\/Z9190-100</t>
  </si>
  <si>
    <t>Z9190-100</t>
  </si>
  <si>
    <t>پشت کشو</t>
  </si>
  <si>
    <t>Z9190-1000 :1</t>
  </si>
  <si>
    <t>AS9346/WG-WF-WA\/Z9190-1000</t>
  </si>
  <si>
    <t>Z9190-1000</t>
  </si>
  <si>
    <t>پشت کشو قفلدار</t>
  </si>
  <si>
    <t xml:space="preserve">Z9190-70 :1 ::S </t>
  </si>
  <si>
    <t>AS9346/WG-WF-WL-WA\/Z9190-70</t>
  </si>
  <si>
    <t>Z9190-70</t>
  </si>
  <si>
    <t>بغل چپ کشو</t>
  </si>
  <si>
    <t xml:space="preserve">Z9190-700 :1 ::S </t>
  </si>
  <si>
    <t>AS9346/WG-WF-WL-WA\/Z9190-700</t>
  </si>
  <si>
    <t>Z9190-700</t>
  </si>
  <si>
    <t>بغل چپ کشو قفلدار</t>
  </si>
  <si>
    <t xml:space="preserve">Z9190-80 :1 ::S </t>
  </si>
  <si>
    <t>AS9346/WG-WF-WL-WA\/Z9190-80</t>
  </si>
  <si>
    <t>Z9190-80</t>
  </si>
  <si>
    <t>بغل راست کشو</t>
  </si>
  <si>
    <t xml:space="preserve">Z9190-800 :1 ::S </t>
  </si>
  <si>
    <t>AS9346/WG-WF-WL-WA\/Z9190-800</t>
  </si>
  <si>
    <t>Z9190-800</t>
  </si>
  <si>
    <t>بغل راست کشو قفلدار</t>
  </si>
  <si>
    <t>Z24628-19-KH</t>
  </si>
  <si>
    <t>AB24628/WG-WA\Z24628-002/Z24628-19</t>
  </si>
  <si>
    <t>Z24628-19</t>
  </si>
  <si>
    <t>FL749-75-R قيد سقف فايل</t>
  </si>
  <si>
    <t xml:space="preserve">WG3066-05 / WA3066 :1 ::S </t>
  </si>
  <si>
    <t>AB6447/AS5423/WK5423-02/WI4153/WI3866/WG3066-05/WL3066-03/WF3066/WA3066</t>
  </si>
  <si>
    <t>WA3066</t>
  </si>
  <si>
    <t>FL730-60 بغل کشو پاييني فايل</t>
  </si>
  <si>
    <t xml:space="preserve">WG3066-5 / WA3066 :1 ::S </t>
  </si>
  <si>
    <t>AB6447/AS5423/WK5423-02/WI4153/WI3866/WG3066-5/WL3066-03/WF3066/WA3066</t>
  </si>
  <si>
    <t>AB6448/AS5946/WK5946-02/WI4153-01/WI3866/WG3066-05/WL3066-03/WF3066/WA3066</t>
  </si>
  <si>
    <t>AB6448/AS5946/WK5946-02/WI4153-01/WI3866/WG3066-5/WL3066-03/WF3066/WA3066</t>
  </si>
  <si>
    <t>AB6453/AS5423/WK5423-02/WI4153/WI3866/WG3066-05/WL3066-03/WF3066/WA3066</t>
  </si>
  <si>
    <t>AB6453/AS5423/WK5423-02/WI4153/WI3866/WG3066-5/WL3066-03/WF3066/WA3066</t>
  </si>
  <si>
    <t>WG3863 / WA3863 :1</t>
  </si>
  <si>
    <t>AB6447/AS5423/WK5423-02/WI4152/WI3865/WG3863/WF3863/WA3863</t>
  </si>
  <si>
    <t>WA3863</t>
  </si>
  <si>
    <t>FDH203-R بغل کشو بالا</t>
  </si>
  <si>
    <t>WG3863-01 / WA3863 :1</t>
  </si>
  <si>
    <t>AB6447/AS5423/WK5423-02/WI4152/WI3865/WG3863-01/WF3863/WA3863</t>
  </si>
  <si>
    <t>AB6448/AS5946/WK5946-02/WI4152-01/WI3865/WG3863/WF3863/WA3863</t>
  </si>
  <si>
    <t>AB6448/AS5946/WK5946-02/WI4152-01/WI3865/WG3863-01/WF3863/WA3863</t>
  </si>
  <si>
    <t>AB6453/AS5423/WK5423-02/WI4152/WI3865/WG3863/WF3863/WA3863</t>
  </si>
  <si>
    <t>AB6453/AS5423/WK5423-02/WI4152/WI3865/WG3863-01/WF3863/WA3863</t>
  </si>
  <si>
    <t>WG3865 / WA3865 :1</t>
  </si>
  <si>
    <t>AB6447/AS5423/WK5423-02/WI4152/WI3865/WG3865/WF3865/WA3865</t>
  </si>
  <si>
    <t>WA3865</t>
  </si>
  <si>
    <t>FDH203-R پشت کشو بالا</t>
  </si>
  <si>
    <t>AB6448/AS5946/WK5946-02/WI4152-01/WI3865/WG3865/WF3865/WA3865</t>
  </si>
  <si>
    <t>AB6453/AS5423/WK5423-02/WI4152/WI3865/WG3865/WF3865/WA3865</t>
  </si>
  <si>
    <t>WG3866 / WA3866 :1</t>
  </si>
  <si>
    <t>AB6447/AS5423/WK5423-02/WI4153/WI3866/WG3866/WF3866/WA3866</t>
  </si>
  <si>
    <t>WA3866</t>
  </si>
  <si>
    <t>FDH203-R پشت کشو پايين</t>
  </si>
  <si>
    <t>AB6448/AS5946/WK5946-02/WI4153-01/WI3866/WG3866/WF3866/WA3866</t>
  </si>
  <si>
    <t>AB6453/AS5423/WK5423-02/WI4153/WI3866/WG3866/WF3866/WA3866</t>
  </si>
  <si>
    <t xml:space="preserve">Z15417-15 :1 ::S </t>
  </si>
  <si>
    <t>ABK20649/WG-WF-WL-WA\/Z15417-15</t>
  </si>
  <si>
    <t>Z15417-15</t>
  </si>
  <si>
    <t>FLMA79-R بغل راست كشو</t>
  </si>
  <si>
    <t xml:space="preserve">Z15417-16 :1 ::S </t>
  </si>
  <si>
    <t>ABK20649/WG-WF-WL-WA\/Z15417-16</t>
  </si>
  <si>
    <t>Z15417-16</t>
  </si>
  <si>
    <t>FLMA79-R بغل چپ كشو</t>
  </si>
  <si>
    <t>Z15417-18 :1</t>
  </si>
  <si>
    <t>ABK20649/WG-WF-WA\/Z15417-18</t>
  </si>
  <si>
    <t>Z15417-18</t>
  </si>
  <si>
    <t>FLMA79-R پشت كشو</t>
  </si>
  <si>
    <t xml:space="preserve">Z15429-07 :1 ::S </t>
  </si>
  <si>
    <t>AB24628/WG-WF-WL-WA\/Z15429-07</t>
  </si>
  <si>
    <t>Z15429-07</t>
  </si>
  <si>
    <t>FL749-60-R بغل راست كشو</t>
  </si>
  <si>
    <t xml:space="preserve">Z15429-08 :1 ::S </t>
  </si>
  <si>
    <t>AB24628/WG-WF-WL-WA\/Z15429-08</t>
  </si>
  <si>
    <t>Z15429-08</t>
  </si>
  <si>
    <t>FL749-60-R بغل چپ كشو</t>
  </si>
  <si>
    <t>Z15429-10 :1</t>
  </si>
  <si>
    <t>AB24628/WG-WF-WA\/Z15429-10</t>
  </si>
  <si>
    <t>Z15429-10</t>
  </si>
  <si>
    <t>FL749-60-R پشت كشو</t>
  </si>
  <si>
    <t>Z14133-23-KH</t>
  </si>
  <si>
    <t>NC008 MANTRASIT 116/</t>
  </si>
  <si>
    <t>AB14133/WG-WA\/Z14133-23</t>
  </si>
  <si>
    <t>Z14133-23</t>
  </si>
  <si>
    <t>اسپيسر</t>
  </si>
  <si>
    <t>Z12198-36 :1</t>
  </si>
  <si>
    <t>ABK20923/WF-WA\/Z12198-36</t>
  </si>
  <si>
    <t>Z12198-36</t>
  </si>
  <si>
    <t>قيد 8 ميل</t>
  </si>
  <si>
    <t>WQ4258 / WA4258 :1</t>
  </si>
  <si>
    <t>NC028 M/MESHKI SYNC</t>
  </si>
  <si>
    <t>AB6447/AS5423/WK5423-02/WK5423-2/WQ4258/WF4258/WA4258</t>
  </si>
  <si>
    <t>WA4258</t>
  </si>
  <si>
    <t>قيد 8 ميل زير ريل</t>
  </si>
  <si>
    <t>مشکي سينک/</t>
  </si>
  <si>
    <t>AB6448/AS5946/WK5946-02/WK5946-2/WQ4258/WF4258/WA4258</t>
  </si>
  <si>
    <t>AB6453/AS5423/WK5423-02/WK5423-2/WQ4258/WF4258/WA4258</t>
  </si>
  <si>
    <t>محیط</t>
  </si>
  <si>
    <t>نوار</t>
  </si>
  <si>
    <t>نوارزنی مستقیم</t>
  </si>
  <si>
    <t>نوار منحنی</t>
  </si>
  <si>
    <t>سی ان سی</t>
  </si>
  <si>
    <t>سوراخ کاری</t>
  </si>
  <si>
    <t>وکیوم</t>
  </si>
  <si>
    <t>رنگ کاری چوب</t>
  </si>
  <si>
    <t>مساحت</t>
  </si>
</sst>
</file>

<file path=xl/styles.xml><?xml version="1.0" encoding="utf-8"?>
<styleSheet xmlns="http://schemas.openxmlformats.org/spreadsheetml/2006/main">
  <numFmts count="1">
    <numFmt numFmtId="164" formatCode="0.0"/>
  </numFmts>
  <fonts count="18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8"/>
      <color theme="3"/>
      <name val="Cambria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3" borderId="0" xfId="0" applyFill="1" applyAlignment="1">
      <alignment horizontal="center"/>
    </xf>
    <xf numFmtId="0" fontId="0" fillId="35" borderId="0" xfId="0" applyFill="1" applyAlignment="1">
      <alignment horizontal="center"/>
    </xf>
    <xf numFmtId="164" fontId="0" fillId="33" borderId="0" xfId="0" applyNumberForma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462"/>
  <sheetViews>
    <sheetView tabSelected="1" topLeftCell="F1" zoomScale="70" zoomScaleNormal="70" workbookViewId="0">
      <selection activeCell="AJ3" sqref="AJ3"/>
    </sheetView>
  </sheetViews>
  <sheetFormatPr defaultRowHeight="15"/>
  <cols>
    <col min="3" max="3" width="38.7109375" customWidth="1"/>
    <col min="4" max="5" width="6.42578125" customWidth="1"/>
    <col min="8" max="11" width="4.140625" customWidth="1"/>
    <col min="12" max="15" width="3.140625" customWidth="1"/>
    <col min="16" max="16" width="19" customWidth="1"/>
    <col min="17" max="24" width="3.140625" customWidth="1"/>
    <col min="25" max="25" width="12.5703125" customWidth="1"/>
    <col min="26" max="27" width="9.28515625" bestFit="1" customWidth="1"/>
    <col min="28" max="28" width="6.28515625" style="2" customWidth="1"/>
    <col min="29" max="29" width="11.7109375" style="2" bestFit="1" customWidth="1"/>
    <col min="30" max="30" width="8.85546875" style="2" bestFit="1" customWidth="1"/>
    <col min="31" max="31" width="8.5703125" style="2" bestFit="1" customWidth="1"/>
    <col min="32" max="32" width="6.28515625" style="2" customWidth="1"/>
    <col min="33" max="33" width="8.85546875" style="2" customWidth="1"/>
    <col min="34" max="34" width="8.140625" style="2" customWidth="1"/>
    <col min="35" max="35" width="8.5703125" style="3" bestFit="1" customWidth="1"/>
    <col min="36" max="36" width="13.140625" style="3" bestFit="1" customWidth="1"/>
    <col min="37" max="37" width="10" style="3" customWidth="1"/>
    <col min="38" max="38" width="7.85546875" style="3" customWidth="1"/>
    <col min="39" max="39" width="9.7109375" style="3" bestFit="1" customWidth="1"/>
    <col min="40" max="40" width="11.5703125" style="5" customWidth="1"/>
    <col min="41" max="41" width="12" style="1" customWidth="1"/>
  </cols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1617</v>
      </c>
      <c r="Z1" t="s">
        <v>1609</v>
      </c>
      <c r="AA1" t="s">
        <v>1610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24</v>
      </c>
      <c r="AH1" s="2" t="s">
        <v>25</v>
      </c>
      <c r="AI1" s="4" t="s">
        <v>19</v>
      </c>
      <c r="AJ1" s="4" t="s">
        <v>20</v>
      </c>
      <c r="AK1" s="4" t="s">
        <v>21</v>
      </c>
      <c r="AL1" s="4" t="s">
        <v>22</v>
      </c>
      <c r="AM1" s="4" t="s">
        <v>23</v>
      </c>
      <c r="AN1" s="4" t="s">
        <v>24</v>
      </c>
      <c r="AO1" s="4" t="s">
        <v>25</v>
      </c>
    </row>
    <row r="2" spans="1:41">
      <c r="A2" t="s">
        <v>0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  <c r="Z2" t="s">
        <v>1609</v>
      </c>
      <c r="AA2" t="s">
        <v>1610</v>
      </c>
      <c r="AB2" s="2" t="s">
        <v>41</v>
      </c>
      <c r="AC2" s="2" t="s">
        <v>1611</v>
      </c>
      <c r="AD2" s="2" t="s">
        <v>1612</v>
      </c>
      <c r="AE2" s="2" t="s">
        <v>1613</v>
      </c>
      <c r="AF2" s="2" t="s">
        <v>1614</v>
      </c>
      <c r="AG2" s="2" t="s">
        <v>1615</v>
      </c>
      <c r="AH2" s="2" t="s">
        <v>1616</v>
      </c>
      <c r="AI2" s="4" t="s">
        <v>41</v>
      </c>
      <c r="AJ2" s="4" t="s">
        <v>1611</v>
      </c>
      <c r="AK2" s="4" t="s">
        <v>1612</v>
      </c>
      <c r="AL2" s="4" t="s">
        <v>1613</v>
      </c>
      <c r="AM2" s="4" t="s">
        <v>1614</v>
      </c>
      <c r="AN2" s="4" t="s">
        <v>1615</v>
      </c>
      <c r="AO2" s="4" t="s">
        <v>1616</v>
      </c>
    </row>
    <row r="3" spans="1:41">
      <c r="A3" t="s">
        <v>42</v>
      </c>
      <c r="B3" t="s">
        <v>43</v>
      </c>
      <c r="C3" t="s">
        <v>44</v>
      </c>
      <c r="D3">
        <v>566</v>
      </c>
      <c r="E3">
        <v>353</v>
      </c>
      <c r="F3">
        <v>0</v>
      </c>
      <c r="G3">
        <v>2</v>
      </c>
      <c r="H3">
        <v>1</v>
      </c>
      <c r="J3">
        <v>1</v>
      </c>
      <c r="K3">
        <v>1</v>
      </c>
      <c r="L3" t="s">
        <v>45</v>
      </c>
      <c r="M3" t="s">
        <v>46</v>
      </c>
      <c r="N3" t="s">
        <v>47</v>
      </c>
      <c r="O3">
        <v>0</v>
      </c>
      <c r="P3" t="s">
        <v>48</v>
      </c>
      <c r="Q3" t="s">
        <v>49</v>
      </c>
      <c r="R3">
        <v>3450</v>
      </c>
      <c r="S3" t="s">
        <v>46</v>
      </c>
      <c r="U3" t="s">
        <v>50</v>
      </c>
      <c r="V3" t="s">
        <v>51</v>
      </c>
      <c r="W3">
        <v>12279409</v>
      </c>
      <c r="X3" t="s">
        <v>52</v>
      </c>
      <c r="Y3">
        <f>(D3*E3)*G3/1000000</f>
        <v>0.39959600000000001</v>
      </c>
      <c r="Z3">
        <f>(((D3+E3)*2)/1000)*G3</f>
        <v>3.6760000000000002</v>
      </c>
      <c r="AA3">
        <f>(((D3*H3)+(D3*I3)+(E3*J3)+(E3*K3))/1000)*G3</f>
        <v>2.544</v>
      </c>
      <c r="AB3" s="2">
        <f>SEARCH($AB$1,C3)</f>
        <v>16</v>
      </c>
      <c r="AC3" s="2">
        <f>IFERROR(SEARCH($AC$1,C3),0)</f>
        <v>13</v>
      </c>
      <c r="AD3" s="2">
        <f>IFERROR(SEARCH($AD$1,C3),0)</f>
        <v>0</v>
      </c>
      <c r="AE3" s="2">
        <f>IFERROR(SEARCH($AE$1,C3),0)</f>
        <v>0</v>
      </c>
      <c r="AF3" s="2">
        <f>IFERROR(SEARCH($AF$1,C3),0)</f>
        <v>10</v>
      </c>
      <c r="AG3" s="2">
        <f>IFERROR(SEARCH($AG$1,C3),0)</f>
        <v>0</v>
      </c>
      <c r="AH3" s="2">
        <f>IFERROR(SEARCH($AH$1,C3),0)</f>
        <v>0</v>
      </c>
      <c r="AI3" s="1">
        <f>Z3*36</f>
        <v>132.33600000000001</v>
      </c>
      <c r="AJ3" s="1">
        <f>AA3*60</f>
        <v>152.64000000000001</v>
      </c>
      <c r="AK3" s="1" t="str">
        <f>IF(AD3&gt;0,G3*220,"")</f>
        <v/>
      </c>
      <c r="AL3" s="1" t="str">
        <f>IF(AE3&gt;0,G3*(240),"")</f>
        <v/>
      </c>
      <c r="AM3" s="1">
        <f>IF(AF3&gt;0,G3*(130),"")</f>
        <v>260</v>
      </c>
      <c r="AN3" s="5">
        <f>IF(AG3&gt;0,G3*252)+IF(AG3&gt;0,G3*Y3*662)</f>
        <v>0</v>
      </c>
      <c r="AO3" s="1" t="str">
        <f>IF(AH3&gt;0,G3*4800,"")</f>
        <v/>
      </c>
    </row>
    <row r="4" spans="1:41">
      <c r="A4" t="s">
        <v>42</v>
      </c>
      <c r="B4" t="s">
        <v>43</v>
      </c>
      <c r="C4" t="s">
        <v>53</v>
      </c>
      <c r="D4">
        <v>566</v>
      </c>
      <c r="E4">
        <v>353</v>
      </c>
      <c r="F4">
        <v>0</v>
      </c>
      <c r="G4">
        <v>1</v>
      </c>
      <c r="H4">
        <v>1</v>
      </c>
      <c r="J4">
        <v>1</v>
      </c>
      <c r="K4">
        <v>1</v>
      </c>
      <c r="L4" t="s">
        <v>45</v>
      </c>
      <c r="M4" t="s">
        <v>46</v>
      </c>
      <c r="N4" t="s">
        <v>47</v>
      </c>
      <c r="O4">
        <v>0</v>
      </c>
      <c r="P4" t="s">
        <v>54</v>
      </c>
      <c r="Q4" t="s">
        <v>49</v>
      </c>
      <c r="R4">
        <v>3450</v>
      </c>
      <c r="S4" t="s">
        <v>46</v>
      </c>
      <c r="U4" t="s">
        <v>50</v>
      </c>
      <c r="V4" t="s">
        <v>51</v>
      </c>
      <c r="W4">
        <v>12279512</v>
      </c>
      <c r="X4" t="s">
        <v>52</v>
      </c>
      <c r="Y4">
        <f t="shared" ref="Y4:Y67" si="0">(D4*E4)*G4/1000000</f>
        <v>0.199798</v>
      </c>
      <c r="Z4">
        <f t="shared" ref="Z4:Z67" si="1">(((D4+E4)*2)/1000)*G4</f>
        <v>1.8380000000000001</v>
      </c>
      <c r="AA4">
        <f t="shared" ref="AA4:AA67" si="2">(((D4*H4)+(D4*I4)+(E4*J4)+(E4*K4))/1000)*G4</f>
        <v>1.272</v>
      </c>
      <c r="AB4" s="2">
        <f>SEARCH($AB$1,C4)</f>
        <v>16</v>
      </c>
      <c r="AC4" s="2">
        <f t="shared" ref="AC4:AC67" si="3">IFERROR(SEARCH($AC$1,C4),0)</f>
        <v>13</v>
      </c>
      <c r="AD4" s="2">
        <f t="shared" ref="AD4:AD67" si="4">IFERROR(SEARCH($AD$1,C4),0)</f>
        <v>0</v>
      </c>
      <c r="AE4" s="2">
        <f t="shared" ref="AE4:AE67" si="5">IFERROR(SEARCH($AE$1,C4),0)</f>
        <v>0</v>
      </c>
      <c r="AF4" s="2">
        <f t="shared" ref="AF4:AF67" si="6">IFERROR(SEARCH($AF$1,C4),0)</f>
        <v>10</v>
      </c>
      <c r="AG4" s="2">
        <f t="shared" ref="AG4:AG67" si="7">IFERROR(SEARCH($AG$1,C4),0)</f>
        <v>0</v>
      </c>
      <c r="AH4" s="2">
        <f t="shared" ref="AH4:AH67" si="8">IFERROR(SEARCH($AH$1,C4),0)</f>
        <v>0</v>
      </c>
      <c r="AI4" s="1">
        <f t="shared" ref="AI4:AI67" si="9">Z4*36</f>
        <v>66.168000000000006</v>
      </c>
      <c r="AJ4" s="1">
        <f t="shared" ref="AJ4:AJ67" si="10">AA4*60</f>
        <v>76.320000000000007</v>
      </c>
      <c r="AK4" s="1" t="str">
        <f t="shared" ref="AK4:AK67" si="11">IF(AD4&gt;0,G4*220,"")</f>
        <v/>
      </c>
      <c r="AL4" s="1" t="str">
        <f t="shared" ref="AL4:AL67" si="12">IF(AE4&gt;0,G4*(240),"")</f>
        <v/>
      </c>
      <c r="AM4" s="1">
        <f t="shared" ref="AM4:AM66" si="13">IF(AF4&gt;0,G4*(130),"")</f>
        <v>130</v>
      </c>
      <c r="AN4" s="5">
        <f t="shared" ref="AN4:AN66" si="14">IF(AG4&gt;0,G4*252)+IF(AG4&gt;0,G4*Y4*662)</f>
        <v>0</v>
      </c>
      <c r="AO4" s="1" t="str">
        <f t="shared" ref="AO4:AO67" si="15">IF(AH4&gt;0,G4*4800,"")</f>
        <v/>
      </c>
    </row>
    <row r="5" spans="1:41">
      <c r="A5" t="s">
        <v>42</v>
      </c>
      <c r="B5" t="s">
        <v>43</v>
      </c>
      <c r="C5" t="s">
        <v>53</v>
      </c>
      <c r="D5">
        <v>566</v>
      </c>
      <c r="E5">
        <v>353</v>
      </c>
      <c r="F5">
        <v>0</v>
      </c>
      <c r="G5">
        <v>1</v>
      </c>
      <c r="H5">
        <v>1</v>
      </c>
      <c r="J5">
        <v>1</v>
      </c>
      <c r="K5">
        <v>1</v>
      </c>
      <c r="L5" t="s">
        <v>45</v>
      </c>
      <c r="M5" t="s">
        <v>46</v>
      </c>
      <c r="N5" t="s">
        <v>47</v>
      </c>
      <c r="O5">
        <v>0</v>
      </c>
      <c r="P5" t="s">
        <v>54</v>
      </c>
      <c r="Q5" t="s">
        <v>49</v>
      </c>
      <c r="R5">
        <v>3450</v>
      </c>
      <c r="S5" t="s">
        <v>46</v>
      </c>
      <c r="U5" t="s">
        <v>50</v>
      </c>
      <c r="V5" t="s">
        <v>51</v>
      </c>
      <c r="W5">
        <v>12279615</v>
      </c>
      <c r="X5" t="s">
        <v>52</v>
      </c>
      <c r="Y5">
        <f t="shared" si="0"/>
        <v>0.199798</v>
      </c>
      <c r="Z5">
        <f t="shared" si="1"/>
        <v>1.8380000000000001</v>
      </c>
      <c r="AA5">
        <f t="shared" si="2"/>
        <v>1.272</v>
      </c>
      <c r="AB5" s="2">
        <f t="shared" ref="AB5:AB67" si="16">SEARCH($AB$1,C5)</f>
        <v>16</v>
      </c>
      <c r="AC5" s="2">
        <f t="shared" si="3"/>
        <v>13</v>
      </c>
      <c r="AD5" s="2">
        <f t="shared" si="4"/>
        <v>0</v>
      </c>
      <c r="AE5" s="2">
        <f t="shared" si="5"/>
        <v>0</v>
      </c>
      <c r="AF5" s="2">
        <f t="shared" si="6"/>
        <v>10</v>
      </c>
      <c r="AG5" s="2">
        <f t="shared" si="7"/>
        <v>0</v>
      </c>
      <c r="AH5" s="2">
        <f t="shared" si="8"/>
        <v>0</v>
      </c>
      <c r="AI5" s="1">
        <f t="shared" si="9"/>
        <v>66.168000000000006</v>
      </c>
      <c r="AJ5" s="1">
        <f t="shared" si="10"/>
        <v>76.320000000000007</v>
      </c>
      <c r="AK5" s="1" t="str">
        <f t="shared" si="11"/>
        <v/>
      </c>
      <c r="AL5" s="1" t="str">
        <f t="shared" si="12"/>
        <v/>
      </c>
      <c r="AM5" s="1">
        <f t="shared" si="13"/>
        <v>130</v>
      </c>
      <c r="AN5" s="5">
        <f t="shared" si="14"/>
        <v>0</v>
      </c>
      <c r="AO5" s="1" t="str">
        <f t="shared" si="15"/>
        <v/>
      </c>
    </row>
    <row r="6" spans="1:41">
      <c r="A6" t="s">
        <v>55</v>
      </c>
      <c r="B6" t="s">
        <v>43</v>
      </c>
      <c r="C6" t="s">
        <v>56</v>
      </c>
      <c r="D6">
        <v>566</v>
      </c>
      <c r="E6">
        <v>353</v>
      </c>
      <c r="F6">
        <v>0</v>
      </c>
      <c r="G6">
        <v>2</v>
      </c>
      <c r="H6">
        <v>1</v>
      </c>
      <c r="J6">
        <v>1</v>
      </c>
      <c r="K6">
        <v>1</v>
      </c>
      <c r="L6" t="s">
        <v>57</v>
      </c>
      <c r="M6" t="s">
        <v>58</v>
      </c>
      <c r="N6" t="s">
        <v>47</v>
      </c>
      <c r="O6">
        <v>0</v>
      </c>
      <c r="P6" t="s">
        <v>48</v>
      </c>
      <c r="Q6" t="s">
        <v>49</v>
      </c>
      <c r="R6">
        <v>3450</v>
      </c>
      <c r="S6" t="s">
        <v>58</v>
      </c>
      <c r="U6" t="s">
        <v>50</v>
      </c>
      <c r="V6" t="s">
        <v>51</v>
      </c>
      <c r="W6">
        <v>12279400</v>
      </c>
      <c r="X6" t="s">
        <v>52</v>
      </c>
      <c r="Y6">
        <f t="shared" si="0"/>
        <v>0.39959600000000001</v>
      </c>
      <c r="Z6">
        <f t="shared" si="1"/>
        <v>3.6760000000000002</v>
      </c>
      <c r="AA6">
        <f t="shared" si="2"/>
        <v>2.544</v>
      </c>
      <c r="AB6" s="2">
        <f t="shared" si="16"/>
        <v>16</v>
      </c>
      <c r="AC6" s="2">
        <f t="shared" si="3"/>
        <v>13</v>
      </c>
      <c r="AD6" s="2">
        <f t="shared" si="4"/>
        <v>0</v>
      </c>
      <c r="AE6" s="2">
        <f t="shared" si="5"/>
        <v>0</v>
      </c>
      <c r="AF6" s="2">
        <f t="shared" si="6"/>
        <v>10</v>
      </c>
      <c r="AG6" s="2">
        <f t="shared" si="7"/>
        <v>0</v>
      </c>
      <c r="AH6" s="2">
        <f t="shared" si="8"/>
        <v>0</v>
      </c>
      <c r="AI6" s="1">
        <f t="shared" si="9"/>
        <v>132.33600000000001</v>
      </c>
      <c r="AJ6" s="1">
        <f t="shared" si="10"/>
        <v>152.64000000000001</v>
      </c>
      <c r="AK6" s="1" t="str">
        <f t="shared" si="11"/>
        <v/>
      </c>
      <c r="AL6" s="1" t="str">
        <f t="shared" si="12"/>
        <v/>
      </c>
      <c r="AM6" s="1">
        <f t="shared" si="13"/>
        <v>260</v>
      </c>
      <c r="AN6" s="5">
        <f t="shared" si="14"/>
        <v>0</v>
      </c>
      <c r="AO6" s="1" t="str">
        <f t="shared" si="15"/>
        <v/>
      </c>
    </row>
    <row r="7" spans="1:41">
      <c r="A7" t="s">
        <v>55</v>
      </c>
      <c r="B7" t="s">
        <v>43</v>
      </c>
      <c r="C7" t="s">
        <v>59</v>
      </c>
      <c r="D7">
        <v>566</v>
      </c>
      <c r="E7">
        <v>353</v>
      </c>
      <c r="F7">
        <v>0</v>
      </c>
      <c r="G7">
        <v>1</v>
      </c>
      <c r="H7">
        <v>1</v>
      </c>
      <c r="J7">
        <v>1</v>
      </c>
      <c r="K7">
        <v>1</v>
      </c>
      <c r="L7" t="s">
        <v>57</v>
      </c>
      <c r="M7" t="s">
        <v>58</v>
      </c>
      <c r="N7" t="s">
        <v>47</v>
      </c>
      <c r="O7">
        <v>0</v>
      </c>
      <c r="P7" t="s">
        <v>54</v>
      </c>
      <c r="Q7" t="s">
        <v>49</v>
      </c>
      <c r="R7">
        <v>3450</v>
      </c>
      <c r="S7" t="s">
        <v>58</v>
      </c>
      <c r="U7" t="s">
        <v>50</v>
      </c>
      <c r="V7" t="s">
        <v>51</v>
      </c>
      <c r="W7">
        <v>12279503</v>
      </c>
      <c r="X7" t="s">
        <v>52</v>
      </c>
      <c r="Y7">
        <f t="shared" si="0"/>
        <v>0.199798</v>
      </c>
      <c r="Z7">
        <f t="shared" si="1"/>
        <v>1.8380000000000001</v>
      </c>
      <c r="AA7">
        <f t="shared" si="2"/>
        <v>1.272</v>
      </c>
      <c r="AB7" s="2">
        <f>SEARCH($AB$1,C7)</f>
        <v>16</v>
      </c>
      <c r="AC7" s="2">
        <f t="shared" si="3"/>
        <v>13</v>
      </c>
      <c r="AD7" s="2">
        <f t="shared" si="4"/>
        <v>0</v>
      </c>
      <c r="AE7" s="2">
        <f t="shared" si="5"/>
        <v>0</v>
      </c>
      <c r="AF7" s="2">
        <f t="shared" si="6"/>
        <v>10</v>
      </c>
      <c r="AG7" s="2">
        <f t="shared" si="7"/>
        <v>0</v>
      </c>
      <c r="AH7" s="2">
        <f t="shared" si="8"/>
        <v>0</v>
      </c>
      <c r="AI7" s="1">
        <f t="shared" si="9"/>
        <v>66.168000000000006</v>
      </c>
      <c r="AJ7" s="1">
        <f t="shared" si="10"/>
        <v>76.320000000000007</v>
      </c>
      <c r="AK7" s="1" t="str">
        <f t="shared" si="11"/>
        <v/>
      </c>
      <c r="AL7" s="1" t="str">
        <f t="shared" si="12"/>
        <v/>
      </c>
      <c r="AM7" s="1">
        <f t="shared" si="13"/>
        <v>130</v>
      </c>
      <c r="AN7" s="5">
        <f t="shared" si="14"/>
        <v>0</v>
      </c>
      <c r="AO7" s="1" t="str">
        <f t="shared" si="15"/>
        <v/>
      </c>
    </row>
    <row r="8" spans="1:41">
      <c r="A8" t="s">
        <v>55</v>
      </c>
      <c r="B8" t="s">
        <v>43</v>
      </c>
      <c r="C8" t="s">
        <v>59</v>
      </c>
      <c r="D8">
        <v>566</v>
      </c>
      <c r="E8">
        <v>353</v>
      </c>
      <c r="F8">
        <v>0</v>
      </c>
      <c r="G8">
        <v>1</v>
      </c>
      <c r="H8">
        <v>1</v>
      </c>
      <c r="J8">
        <v>1</v>
      </c>
      <c r="K8">
        <v>1</v>
      </c>
      <c r="L8" t="s">
        <v>57</v>
      </c>
      <c r="M8" t="s">
        <v>58</v>
      </c>
      <c r="N8" t="s">
        <v>47</v>
      </c>
      <c r="O8">
        <v>0</v>
      </c>
      <c r="P8" t="s">
        <v>54</v>
      </c>
      <c r="Q8" t="s">
        <v>49</v>
      </c>
      <c r="R8">
        <v>3450</v>
      </c>
      <c r="S8" t="s">
        <v>58</v>
      </c>
      <c r="U8" t="s">
        <v>50</v>
      </c>
      <c r="V8" t="s">
        <v>51</v>
      </c>
      <c r="W8">
        <v>12279606</v>
      </c>
      <c r="X8" t="s">
        <v>52</v>
      </c>
      <c r="Y8">
        <f t="shared" si="0"/>
        <v>0.199798</v>
      </c>
      <c r="Z8">
        <f t="shared" si="1"/>
        <v>1.8380000000000001</v>
      </c>
      <c r="AA8">
        <f t="shared" si="2"/>
        <v>1.272</v>
      </c>
      <c r="AB8" s="2">
        <f t="shared" si="16"/>
        <v>16</v>
      </c>
      <c r="AC8" s="2">
        <f t="shared" si="3"/>
        <v>13</v>
      </c>
      <c r="AD8" s="2">
        <f t="shared" si="4"/>
        <v>0</v>
      </c>
      <c r="AE8" s="2">
        <f t="shared" si="5"/>
        <v>0</v>
      </c>
      <c r="AF8" s="2">
        <f t="shared" si="6"/>
        <v>10</v>
      </c>
      <c r="AG8" s="2">
        <f t="shared" si="7"/>
        <v>0</v>
      </c>
      <c r="AH8" s="2">
        <f t="shared" si="8"/>
        <v>0</v>
      </c>
      <c r="AI8" s="1">
        <f t="shared" si="9"/>
        <v>66.168000000000006</v>
      </c>
      <c r="AJ8" s="1">
        <f t="shared" si="10"/>
        <v>76.320000000000007</v>
      </c>
      <c r="AK8" s="1" t="str">
        <f t="shared" si="11"/>
        <v/>
      </c>
      <c r="AL8" s="1" t="str">
        <f t="shared" si="12"/>
        <v/>
      </c>
      <c r="AM8" s="1">
        <f t="shared" si="13"/>
        <v>130</v>
      </c>
      <c r="AN8" s="5">
        <f t="shared" si="14"/>
        <v>0</v>
      </c>
      <c r="AO8" s="1" t="str">
        <f t="shared" si="15"/>
        <v/>
      </c>
    </row>
    <row r="9" spans="1:41">
      <c r="A9" t="s">
        <v>60</v>
      </c>
      <c r="B9" t="s">
        <v>43</v>
      </c>
      <c r="C9" t="s">
        <v>61</v>
      </c>
      <c r="D9">
        <v>598</v>
      </c>
      <c r="E9">
        <v>598</v>
      </c>
      <c r="F9">
        <v>0</v>
      </c>
      <c r="G9">
        <v>2</v>
      </c>
      <c r="H9">
        <v>1</v>
      </c>
      <c r="I9">
        <v>1</v>
      </c>
      <c r="J9">
        <v>1</v>
      </c>
      <c r="K9">
        <v>1</v>
      </c>
      <c r="L9" t="s">
        <v>62</v>
      </c>
      <c r="M9" t="s">
        <v>63</v>
      </c>
      <c r="N9" t="s">
        <v>47</v>
      </c>
      <c r="O9">
        <v>0</v>
      </c>
      <c r="P9" t="s">
        <v>48</v>
      </c>
      <c r="Q9" t="s">
        <v>49</v>
      </c>
      <c r="R9">
        <v>3450</v>
      </c>
      <c r="S9" t="s">
        <v>63</v>
      </c>
      <c r="U9" t="s">
        <v>50</v>
      </c>
      <c r="V9" t="s">
        <v>51</v>
      </c>
      <c r="W9">
        <v>12279397</v>
      </c>
      <c r="X9" t="s">
        <v>52</v>
      </c>
      <c r="Y9">
        <f t="shared" si="0"/>
        <v>0.71520799999999995</v>
      </c>
      <c r="Z9">
        <f t="shared" si="1"/>
        <v>4.7839999999999998</v>
      </c>
      <c r="AA9">
        <f t="shared" si="2"/>
        <v>4.7839999999999998</v>
      </c>
      <c r="AB9" s="2">
        <f t="shared" si="16"/>
        <v>16</v>
      </c>
      <c r="AC9" s="2">
        <f t="shared" si="3"/>
        <v>13</v>
      </c>
      <c r="AD9" s="2">
        <f t="shared" si="4"/>
        <v>0</v>
      </c>
      <c r="AE9" s="2">
        <f t="shared" si="5"/>
        <v>0</v>
      </c>
      <c r="AF9" s="2">
        <f t="shared" si="6"/>
        <v>10</v>
      </c>
      <c r="AG9" s="2">
        <f t="shared" si="7"/>
        <v>0</v>
      </c>
      <c r="AH9" s="2">
        <f t="shared" si="8"/>
        <v>0</v>
      </c>
      <c r="AI9" s="1">
        <f t="shared" si="9"/>
        <v>172.22399999999999</v>
      </c>
      <c r="AJ9" s="1">
        <f t="shared" si="10"/>
        <v>287.03999999999996</v>
      </c>
      <c r="AK9" s="1" t="str">
        <f t="shared" si="11"/>
        <v/>
      </c>
      <c r="AL9" s="1" t="str">
        <f t="shared" si="12"/>
        <v/>
      </c>
      <c r="AM9" s="1">
        <f t="shared" si="13"/>
        <v>260</v>
      </c>
      <c r="AN9" s="5">
        <f t="shared" si="14"/>
        <v>0</v>
      </c>
      <c r="AO9" s="1" t="str">
        <f t="shared" si="15"/>
        <v/>
      </c>
    </row>
    <row r="10" spans="1:41">
      <c r="A10" t="s">
        <v>60</v>
      </c>
      <c r="B10" t="s">
        <v>43</v>
      </c>
      <c r="C10" t="s">
        <v>64</v>
      </c>
      <c r="D10">
        <v>598</v>
      </c>
      <c r="E10">
        <v>598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 t="s">
        <v>62</v>
      </c>
      <c r="M10" t="s">
        <v>63</v>
      </c>
      <c r="N10" t="s">
        <v>47</v>
      </c>
      <c r="O10">
        <v>0</v>
      </c>
      <c r="P10" t="s">
        <v>54</v>
      </c>
      <c r="Q10" t="s">
        <v>49</v>
      </c>
      <c r="R10">
        <v>3450</v>
      </c>
      <c r="S10" t="s">
        <v>63</v>
      </c>
      <c r="U10" t="s">
        <v>50</v>
      </c>
      <c r="V10" t="s">
        <v>51</v>
      </c>
      <c r="W10">
        <v>12279500</v>
      </c>
      <c r="X10" t="s">
        <v>52</v>
      </c>
      <c r="Y10">
        <f t="shared" si="0"/>
        <v>0.35760399999999998</v>
      </c>
      <c r="Z10">
        <f t="shared" si="1"/>
        <v>2.3919999999999999</v>
      </c>
      <c r="AA10">
        <f t="shared" si="2"/>
        <v>2.3919999999999999</v>
      </c>
      <c r="AB10" s="2">
        <f t="shared" si="16"/>
        <v>16</v>
      </c>
      <c r="AC10" s="2">
        <f t="shared" si="3"/>
        <v>13</v>
      </c>
      <c r="AD10" s="2">
        <f t="shared" si="4"/>
        <v>0</v>
      </c>
      <c r="AE10" s="2">
        <f t="shared" si="5"/>
        <v>0</v>
      </c>
      <c r="AF10" s="2">
        <f t="shared" si="6"/>
        <v>10</v>
      </c>
      <c r="AG10" s="2">
        <f t="shared" si="7"/>
        <v>0</v>
      </c>
      <c r="AH10" s="2">
        <f t="shared" si="8"/>
        <v>0</v>
      </c>
      <c r="AI10" s="1">
        <f t="shared" si="9"/>
        <v>86.111999999999995</v>
      </c>
      <c r="AJ10" s="1">
        <f t="shared" si="10"/>
        <v>143.51999999999998</v>
      </c>
      <c r="AK10" s="1" t="str">
        <f t="shared" si="11"/>
        <v/>
      </c>
      <c r="AL10" s="1" t="str">
        <f t="shared" si="12"/>
        <v/>
      </c>
      <c r="AM10" s="1">
        <f t="shared" si="13"/>
        <v>130</v>
      </c>
      <c r="AN10" s="5">
        <f t="shared" si="14"/>
        <v>0</v>
      </c>
      <c r="AO10" s="1" t="str">
        <f t="shared" si="15"/>
        <v/>
      </c>
    </row>
    <row r="11" spans="1:41">
      <c r="A11" t="s">
        <v>60</v>
      </c>
      <c r="B11" t="s">
        <v>43</v>
      </c>
      <c r="C11" t="s">
        <v>64</v>
      </c>
      <c r="D11">
        <v>598</v>
      </c>
      <c r="E11">
        <v>598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 t="s">
        <v>62</v>
      </c>
      <c r="M11" t="s">
        <v>63</v>
      </c>
      <c r="N11" t="s">
        <v>47</v>
      </c>
      <c r="O11">
        <v>0</v>
      </c>
      <c r="P11" t="s">
        <v>54</v>
      </c>
      <c r="Q11" t="s">
        <v>49</v>
      </c>
      <c r="R11">
        <v>3450</v>
      </c>
      <c r="S11" t="s">
        <v>63</v>
      </c>
      <c r="U11" t="s">
        <v>50</v>
      </c>
      <c r="V11" t="s">
        <v>51</v>
      </c>
      <c r="W11">
        <v>12279603</v>
      </c>
      <c r="X11" t="s">
        <v>52</v>
      </c>
      <c r="Y11">
        <f t="shared" si="0"/>
        <v>0.35760399999999998</v>
      </c>
      <c r="Z11">
        <f t="shared" si="1"/>
        <v>2.3919999999999999</v>
      </c>
      <c r="AA11">
        <f t="shared" si="2"/>
        <v>2.3919999999999999</v>
      </c>
      <c r="AB11" s="2">
        <f t="shared" si="16"/>
        <v>16</v>
      </c>
      <c r="AC11" s="2">
        <f t="shared" si="3"/>
        <v>13</v>
      </c>
      <c r="AD11" s="2">
        <f t="shared" si="4"/>
        <v>0</v>
      </c>
      <c r="AE11" s="2">
        <f t="shared" si="5"/>
        <v>0</v>
      </c>
      <c r="AF11" s="2">
        <f t="shared" si="6"/>
        <v>10</v>
      </c>
      <c r="AG11" s="2">
        <f t="shared" si="7"/>
        <v>0</v>
      </c>
      <c r="AH11" s="2">
        <f t="shared" si="8"/>
        <v>0</v>
      </c>
      <c r="AI11" s="1">
        <f t="shared" si="9"/>
        <v>86.111999999999995</v>
      </c>
      <c r="AJ11" s="1">
        <f t="shared" si="10"/>
        <v>143.51999999999998</v>
      </c>
      <c r="AK11" s="1" t="str">
        <f t="shared" si="11"/>
        <v/>
      </c>
      <c r="AL11" s="1" t="str">
        <f t="shared" si="12"/>
        <v/>
      </c>
      <c r="AM11" s="1">
        <f t="shared" si="13"/>
        <v>130</v>
      </c>
      <c r="AN11" s="5">
        <f t="shared" si="14"/>
        <v>0</v>
      </c>
      <c r="AO11" s="1" t="str">
        <f t="shared" si="15"/>
        <v/>
      </c>
    </row>
    <row r="12" spans="1:41">
      <c r="A12" t="s">
        <v>65</v>
      </c>
      <c r="B12" t="s">
        <v>43</v>
      </c>
      <c r="C12" t="s">
        <v>66</v>
      </c>
      <c r="D12">
        <v>536</v>
      </c>
      <c r="E12">
        <v>353</v>
      </c>
      <c r="F12">
        <v>0</v>
      </c>
      <c r="G12">
        <v>2</v>
      </c>
      <c r="H12">
        <v>1</v>
      </c>
      <c r="L12" t="s">
        <v>67</v>
      </c>
      <c r="M12" t="s">
        <v>68</v>
      </c>
      <c r="N12" t="s">
        <v>47</v>
      </c>
      <c r="O12">
        <v>0</v>
      </c>
      <c r="P12" t="s">
        <v>48</v>
      </c>
      <c r="Q12" t="s">
        <v>49</v>
      </c>
      <c r="R12">
        <v>3450</v>
      </c>
      <c r="S12" t="s">
        <v>68</v>
      </c>
      <c r="U12" t="s">
        <v>50</v>
      </c>
      <c r="V12" t="s">
        <v>51</v>
      </c>
      <c r="W12">
        <v>12279406</v>
      </c>
      <c r="X12" t="s">
        <v>52</v>
      </c>
      <c r="Y12">
        <f t="shared" si="0"/>
        <v>0.37841599999999997</v>
      </c>
      <c r="Z12">
        <f t="shared" si="1"/>
        <v>3.556</v>
      </c>
      <c r="AA12">
        <f t="shared" si="2"/>
        <v>1.0720000000000001</v>
      </c>
      <c r="AB12" s="2">
        <f t="shared" si="16"/>
        <v>16</v>
      </c>
      <c r="AC12" s="2">
        <f t="shared" si="3"/>
        <v>13</v>
      </c>
      <c r="AD12" s="2">
        <f t="shared" si="4"/>
        <v>0</v>
      </c>
      <c r="AE12" s="2">
        <f t="shared" si="5"/>
        <v>0</v>
      </c>
      <c r="AF12" s="2">
        <f t="shared" si="6"/>
        <v>10</v>
      </c>
      <c r="AG12" s="2">
        <f t="shared" si="7"/>
        <v>0</v>
      </c>
      <c r="AH12" s="2">
        <f t="shared" si="8"/>
        <v>0</v>
      </c>
      <c r="AI12" s="1">
        <f t="shared" si="9"/>
        <v>128.01599999999999</v>
      </c>
      <c r="AJ12" s="1">
        <f t="shared" si="10"/>
        <v>64.320000000000007</v>
      </c>
      <c r="AK12" s="1" t="str">
        <f t="shared" si="11"/>
        <v/>
      </c>
      <c r="AL12" s="1" t="str">
        <f t="shared" si="12"/>
        <v/>
      </c>
      <c r="AM12" s="1">
        <f t="shared" si="13"/>
        <v>260</v>
      </c>
      <c r="AN12" s="5">
        <f t="shared" si="14"/>
        <v>0</v>
      </c>
      <c r="AO12" s="1" t="str">
        <f t="shared" si="15"/>
        <v/>
      </c>
    </row>
    <row r="13" spans="1:41">
      <c r="A13" t="s">
        <v>65</v>
      </c>
      <c r="B13" t="s">
        <v>43</v>
      </c>
      <c r="C13" t="s">
        <v>69</v>
      </c>
      <c r="D13">
        <v>536</v>
      </c>
      <c r="E13">
        <v>353</v>
      </c>
      <c r="F13">
        <v>0</v>
      </c>
      <c r="G13">
        <v>1</v>
      </c>
      <c r="H13">
        <v>1</v>
      </c>
      <c r="L13" t="s">
        <v>67</v>
      </c>
      <c r="M13" t="s">
        <v>68</v>
      </c>
      <c r="N13" t="s">
        <v>47</v>
      </c>
      <c r="O13">
        <v>0</v>
      </c>
      <c r="P13" t="s">
        <v>54</v>
      </c>
      <c r="Q13" t="s">
        <v>49</v>
      </c>
      <c r="R13">
        <v>3450</v>
      </c>
      <c r="S13" t="s">
        <v>68</v>
      </c>
      <c r="U13" t="s">
        <v>50</v>
      </c>
      <c r="V13" t="s">
        <v>51</v>
      </c>
      <c r="W13">
        <v>12279509</v>
      </c>
      <c r="X13" t="s">
        <v>52</v>
      </c>
      <c r="Y13">
        <f t="shared" si="0"/>
        <v>0.18920799999999999</v>
      </c>
      <c r="Z13">
        <f t="shared" si="1"/>
        <v>1.778</v>
      </c>
      <c r="AA13">
        <f t="shared" si="2"/>
        <v>0.53600000000000003</v>
      </c>
      <c r="AB13" s="2">
        <f t="shared" si="16"/>
        <v>16</v>
      </c>
      <c r="AC13" s="2">
        <f t="shared" si="3"/>
        <v>13</v>
      </c>
      <c r="AD13" s="2">
        <f t="shared" si="4"/>
        <v>0</v>
      </c>
      <c r="AE13" s="2">
        <f t="shared" si="5"/>
        <v>0</v>
      </c>
      <c r="AF13" s="2">
        <f t="shared" si="6"/>
        <v>10</v>
      </c>
      <c r="AG13" s="2">
        <f t="shared" si="7"/>
        <v>0</v>
      </c>
      <c r="AH13" s="2">
        <f t="shared" si="8"/>
        <v>0</v>
      </c>
      <c r="AI13" s="1">
        <f t="shared" si="9"/>
        <v>64.007999999999996</v>
      </c>
      <c r="AJ13" s="1">
        <f t="shared" si="10"/>
        <v>32.160000000000004</v>
      </c>
      <c r="AK13" s="1" t="str">
        <f t="shared" si="11"/>
        <v/>
      </c>
      <c r="AL13" s="1" t="str">
        <f t="shared" si="12"/>
        <v/>
      </c>
      <c r="AM13" s="1">
        <f t="shared" si="13"/>
        <v>130</v>
      </c>
      <c r="AN13" s="5">
        <f t="shared" si="14"/>
        <v>0</v>
      </c>
      <c r="AO13" s="1" t="str">
        <f t="shared" si="15"/>
        <v/>
      </c>
    </row>
    <row r="14" spans="1:41">
      <c r="A14" t="s">
        <v>65</v>
      </c>
      <c r="B14" t="s">
        <v>43</v>
      </c>
      <c r="C14" t="s">
        <v>69</v>
      </c>
      <c r="D14">
        <v>536</v>
      </c>
      <c r="E14">
        <v>353</v>
      </c>
      <c r="F14">
        <v>0</v>
      </c>
      <c r="G14">
        <v>1</v>
      </c>
      <c r="H14">
        <v>1</v>
      </c>
      <c r="L14" t="s">
        <v>67</v>
      </c>
      <c r="M14" t="s">
        <v>68</v>
      </c>
      <c r="N14" t="s">
        <v>47</v>
      </c>
      <c r="O14">
        <v>0</v>
      </c>
      <c r="P14" t="s">
        <v>54</v>
      </c>
      <c r="Q14" t="s">
        <v>49</v>
      </c>
      <c r="R14">
        <v>3450</v>
      </c>
      <c r="S14" t="s">
        <v>68</v>
      </c>
      <c r="U14" t="s">
        <v>50</v>
      </c>
      <c r="V14" t="s">
        <v>51</v>
      </c>
      <c r="W14">
        <v>12279612</v>
      </c>
      <c r="X14" t="s">
        <v>52</v>
      </c>
      <c r="Y14">
        <f t="shared" si="0"/>
        <v>0.18920799999999999</v>
      </c>
      <c r="Z14">
        <f t="shared" si="1"/>
        <v>1.778</v>
      </c>
      <c r="AA14">
        <f t="shared" si="2"/>
        <v>0.53600000000000003</v>
      </c>
      <c r="AB14" s="2">
        <f t="shared" si="16"/>
        <v>16</v>
      </c>
      <c r="AC14" s="2">
        <f t="shared" si="3"/>
        <v>13</v>
      </c>
      <c r="AD14" s="2">
        <f t="shared" si="4"/>
        <v>0</v>
      </c>
      <c r="AE14" s="2">
        <f t="shared" si="5"/>
        <v>0</v>
      </c>
      <c r="AF14" s="2">
        <f t="shared" si="6"/>
        <v>10</v>
      </c>
      <c r="AG14" s="2">
        <f t="shared" si="7"/>
        <v>0</v>
      </c>
      <c r="AH14" s="2">
        <f t="shared" si="8"/>
        <v>0</v>
      </c>
      <c r="AI14" s="1">
        <f t="shared" si="9"/>
        <v>64.007999999999996</v>
      </c>
      <c r="AJ14" s="1">
        <f t="shared" si="10"/>
        <v>32.160000000000004</v>
      </c>
      <c r="AK14" s="1" t="str">
        <f t="shared" si="11"/>
        <v/>
      </c>
      <c r="AL14" s="1" t="str">
        <f t="shared" si="12"/>
        <v/>
      </c>
      <c r="AM14" s="1">
        <f t="shared" si="13"/>
        <v>130</v>
      </c>
      <c r="AN14" s="5">
        <f t="shared" si="14"/>
        <v>0</v>
      </c>
      <c r="AO14" s="1" t="str">
        <f t="shared" si="15"/>
        <v/>
      </c>
    </row>
    <row r="15" spans="1:41">
      <c r="A15" t="s">
        <v>70</v>
      </c>
      <c r="B15" t="s">
        <v>43</v>
      </c>
      <c r="C15" t="s">
        <v>71</v>
      </c>
      <c r="D15">
        <v>536</v>
      </c>
      <c r="E15">
        <v>353</v>
      </c>
      <c r="F15">
        <v>0</v>
      </c>
      <c r="G15">
        <v>2</v>
      </c>
      <c r="H15">
        <v>1</v>
      </c>
      <c r="L15" t="s">
        <v>72</v>
      </c>
      <c r="M15" t="s">
        <v>73</v>
      </c>
      <c r="N15" t="s">
        <v>47</v>
      </c>
      <c r="O15">
        <v>0</v>
      </c>
      <c r="P15" t="s">
        <v>48</v>
      </c>
      <c r="Q15" t="s">
        <v>49</v>
      </c>
      <c r="R15">
        <v>3450</v>
      </c>
      <c r="S15" t="s">
        <v>73</v>
      </c>
      <c r="U15" t="s">
        <v>50</v>
      </c>
      <c r="V15" t="s">
        <v>51</v>
      </c>
      <c r="W15">
        <v>12279403</v>
      </c>
      <c r="X15" t="s">
        <v>52</v>
      </c>
      <c r="Y15">
        <f t="shared" si="0"/>
        <v>0.37841599999999997</v>
      </c>
      <c r="Z15">
        <f t="shared" si="1"/>
        <v>3.556</v>
      </c>
      <c r="AA15">
        <f t="shared" si="2"/>
        <v>1.0720000000000001</v>
      </c>
      <c r="AB15" s="2">
        <f t="shared" si="16"/>
        <v>16</v>
      </c>
      <c r="AC15" s="2">
        <f t="shared" si="3"/>
        <v>13</v>
      </c>
      <c r="AD15" s="2">
        <f t="shared" si="4"/>
        <v>0</v>
      </c>
      <c r="AE15" s="2">
        <f t="shared" si="5"/>
        <v>0</v>
      </c>
      <c r="AF15" s="2">
        <f t="shared" si="6"/>
        <v>10</v>
      </c>
      <c r="AG15" s="2">
        <f t="shared" si="7"/>
        <v>0</v>
      </c>
      <c r="AH15" s="2">
        <f t="shared" si="8"/>
        <v>0</v>
      </c>
      <c r="AI15" s="1">
        <f t="shared" si="9"/>
        <v>128.01599999999999</v>
      </c>
      <c r="AJ15" s="1">
        <f t="shared" si="10"/>
        <v>64.320000000000007</v>
      </c>
      <c r="AK15" s="1" t="str">
        <f t="shared" si="11"/>
        <v/>
      </c>
      <c r="AL15" s="1" t="str">
        <f t="shared" si="12"/>
        <v/>
      </c>
      <c r="AM15" s="1">
        <f t="shared" si="13"/>
        <v>260</v>
      </c>
      <c r="AN15" s="5">
        <f t="shared" si="14"/>
        <v>0</v>
      </c>
      <c r="AO15" s="1" t="str">
        <f t="shared" si="15"/>
        <v/>
      </c>
    </row>
    <row r="16" spans="1:41">
      <c r="A16" t="s">
        <v>70</v>
      </c>
      <c r="B16" t="s">
        <v>43</v>
      </c>
      <c r="C16" t="s">
        <v>74</v>
      </c>
      <c r="D16">
        <v>536</v>
      </c>
      <c r="E16">
        <v>353</v>
      </c>
      <c r="F16">
        <v>0</v>
      </c>
      <c r="G16">
        <v>1</v>
      </c>
      <c r="H16">
        <v>1</v>
      </c>
      <c r="L16" t="s">
        <v>72</v>
      </c>
      <c r="M16" t="s">
        <v>73</v>
      </c>
      <c r="N16" t="s">
        <v>47</v>
      </c>
      <c r="O16">
        <v>0</v>
      </c>
      <c r="P16" t="s">
        <v>54</v>
      </c>
      <c r="Q16" t="s">
        <v>49</v>
      </c>
      <c r="R16">
        <v>3450</v>
      </c>
      <c r="S16" t="s">
        <v>73</v>
      </c>
      <c r="U16" t="s">
        <v>50</v>
      </c>
      <c r="V16" t="s">
        <v>51</v>
      </c>
      <c r="W16">
        <v>12279506</v>
      </c>
      <c r="X16" t="s">
        <v>52</v>
      </c>
      <c r="Y16">
        <f t="shared" si="0"/>
        <v>0.18920799999999999</v>
      </c>
      <c r="Z16">
        <f t="shared" si="1"/>
        <v>1.778</v>
      </c>
      <c r="AA16">
        <f t="shared" si="2"/>
        <v>0.53600000000000003</v>
      </c>
      <c r="AB16" s="2">
        <f t="shared" si="16"/>
        <v>16</v>
      </c>
      <c r="AC16" s="2">
        <f t="shared" si="3"/>
        <v>13</v>
      </c>
      <c r="AD16" s="2">
        <f t="shared" si="4"/>
        <v>0</v>
      </c>
      <c r="AE16" s="2">
        <f t="shared" si="5"/>
        <v>0</v>
      </c>
      <c r="AF16" s="2">
        <f t="shared" si="6"/>
        <v>10</v>
      </c>
      <c r="AG16" s="2">
        <f t="shared" si="7"/>
        <v>0</v>
      </c>
      <c r="AH16" s="2">
        <f t="shared" si="8"/>
        <v>0</v>
      </c>
      <c r="AI16" s="1">
        <f t="shared" si="9"/>
        <v>64.007999999999996</v>
      </c>
      <c r="AJ16" s="1">
        <f t="shared" si="10"/>
        <v>32.160000000000004</v>
      </c>
      <c r="AK16" s="1" t="str">
        <f t="shared" si="11"/>
        <v/>
      </c>
      <c r="AL16" s="1" t="str">
        <f t="shared" si="12"/>
        <v/>
      </c>
      <c r="AM16" s="1">
        <f t="shared" si="13"/>
        <v>130</v>
      </c>
      <c r="AN16" s="5">
        <f t="shared" si="14"/>
        <v>0</v>
      </c>
      <c r="AO16" s="1" t="str">
        <f t="shared" si="15"/>
        <v/>
      </c>
    </row>
    <row r="17" spans="1:41">
      <c r="A17" t="s">
        <v>70</v>
      </c>
      <c r="B17" t="s">
        <v>43</v>
      </c>
      <c r="C17" t="s">
        <v>74</v>
      </c>
      <c r="D17">
        <v>536</v>
      </c>
      <c r="E17">
        <v>353</v>
      </c>
      <c r="F17">
        <v>0</v>
      </c>
      <c r="G17">
        <v>1</v>
      </c>
      <c r="H17">
        <v>1</v>
      </c>
      <c r="L17" t="s">
        <v>72</v>
      </c>
      <c r="M17" t="s">
        <v>73</v>
      </c>
      <c r="N17" t="s">
        <v>47</v>
      </c>
      <c r="O17">
        <v>0</v>
      </c>
      <c r="P17" t="s">
        <v>54</v>
      </c>
      <c r="Q17" t="s">
        <v>49</v>
      </c>
      <c r="R17">
        <v>3450</v>
      </c>
      <c r="S17" t="s">
        <v>73</v>
      </c>
      <c r="U17" t="s">
        <v>50</v>
      </c>
      <c r="V17" t="s">
        <v>51</v>
      </c>
      <c r="W17">
        <v>12279609</v>
      </c>
      <c r="X17" t="s">
        <v>52</v>
      </c>
      <c r="Y17">
        <f t="shared" si="0"/>
        <v>0.18920799999999999</v>
      </c>
      <c r="Z17">
        <f t="shared" si="1"/>
        <v>1.778</v>
      </c>
      <c r="AA17">
        <f t="shared" si="2"/>
        <v>0.53600000000000003</v>
      </c>
      <c r="AB17" s="2">
        <f t="shared" si="16"/>
        <v>16</v>
      </c>
      <c r="AC17" s="2">
        <f t="shared" si="3"/>
        <v>13</v>
      </c>
      <c r="AD17" s="2">
        <f t="shared" si="4"/>
        <v>0</v>
      </c>
      <c r="AE17" s="2">
        <f t="shared" si="5"/>
        <v>0</v>
      </c>
      <c r="AF17" s="2">
        <f t="shared" si="6"/>
        <v>10</v>
      </c>
      <c r="AG17" s="2">
        <f t="shared" si="7"/>
        <v>0</v>
      </c>
      <c r="AH17" s="2">
        <f t="shared" si="8"/>
        <v>0</v>
      </c>
      <c r="AI17" s="1">
        <f t="shared" si="9"/>
        <v>64.007999999999996</v>
      </c>
      <c r="AJ17" s="1">
        <f t="shared" si="10"/>
        <v>32.160000000000004</v>
      </c>
      <c r="AK17" s="1" t="str">
        <f t="shared" si="11"/>
        <v/>
      </c>
      <c r="AL17" s="1" t="str">
        <f t="shared" si="12"/>
        <v/>
      </c>
      <c r="AM17" s="1">
        <f t="shared" si="13"/>
        <v>130</v>
      </c>
      <c r="AN17" s="5">
        <f t="shared" si="14"/>
        <v>0</v>
      </c>
      <c r="AO17" s="1" t="str">
        <f t="shared" si="15"/>
        <v/>
      </c>
    </row>
    <row r="18" spans="1:41">
      <c r="A18" t="s">
        <v>75</v>
      </c>
      <c r="B18" t="s">
        <v>76</v>
      </c>
      <c r="C18" t="s">
        <v>77</v>
      </c>
      <c r="D18">
        <v>1798</v>
      </c>
      <c r="E18">
        <v>798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 t="s">
        <v>78</v>
      </c>
      <c r="M18" t="s">
        <v>79</v>
      </c>
      <c r="N18" t="s">
        <v>80</v>
      </c>
      <c r="O18">
        <v>0</v>
      </c>
      <c r="P18" t="s">
        <v>81</v>
      </c>
      <c r="Q18" t="s">
        <v>82</v>
      </c>
      <c r="R18">
        <v>10641</v>
      </c>
      <c r="S18" t="s">
        <v>79</v>
      </c>
      <c r="U18" t="s">
        <v>83</v>
      </c>
      <c r="V18" t="s">
        <v>84</v>
      </c>
      <c r="W18">
        <v>12277800</v>
      </c>
      <c r="X18" t="s">
        <v>85</v>
      </c>
      <c r="Y18">
        <f t="shared" si="0"/>
        <v>1.434804</v>
      </c>
      <c r="Z18">
        <f t="shared" si="1"/>
        <v>5.1920000000000002</v>
      </c>
      <c r="AA18">
        <f t="shared" si="2"/>
        <v>5.1920000000000002</v>
      </c>
      <c r="AB18" s="2">
        <f t="shared" si="16"/>
        <v>15</v>
      </c>
      <c r="AC18" s="2">
        <f t="shared" si="3"/>
        <v>12</v>
      </c>
      <c r="AD18" s="2">
        <f t="shared" si="4"/>
        <v>0</v>
      </c>
      <c r="AE18" s="2">
        <f t="shared" si="5"/>
        <v>0</v>
      </c>
      <c r="AF18" s="2">
        <f t="shared" si="6"/>
        <v>9</v>
      </c>
      <c r="AG18" s="2">
        <f t="shared" si="7"/>
        <v>0</v>
      </c>
      <c r="AH18" s="2">
        <f t="shared" si="8"/>
        <v>0</v>
      </c>
      <c r="AI18" s="1">
        <f t="shared" si="9"/>
        <v>186.91200000000001</v>
      </c>
      <c r="AJ18" s="1">
        <f t="shared" si="10"/>
        <v>311.52</v>
      </c>
      <c r="AK18" s="1" t="str">
        <f t="shared" si="11"/>
        <v/>
      </c>
      <c r="AL18" s="1" t="str">
        <f t="shared" si="12"/>
        <v/>
      </c>
      <c r="AM18" s="1">
        <f t="shared" si="13"/>
        <v>130</v>
      </c>
      <c r="AN18" s="5">
        <f t="shared" si="14"/>
        <v>0</v>
      </c>
      <c r="AO18" s="1" t="str">
        <f t="shared" si="15"/>
        <v/>
      </c>
    </row>
    <row r="19" spans="1:41">
      <c r="A19" t="s">
        <v>86</v>
      </c>
      <c r="B19" t="s">
        <v>76</v>
      </c>
      <c r="C19" t="s">
        <v>87</v>
      </c>
      <c r="D19">
        <v>1658</v>
      </c>
      <c r="E19">
        <v>660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 t="s">
        <v>88</v>
      </c>
      <c r="M19" t="s">
        <v>89</v>
      </c>
      <c r="N19" t="s">
        <v>80</v>
      </c>
      <c r="O19">
        <v>0</v>
      </c>
      <c r="P19" t="s">
        <v>81</v>
      </c>
      <c r="Q19" t="s">
        <v>82</v>
      </c>
      <c r="R19">
        <v>10641</v>
      </c>
      <c r="S19" t="s">
        <v>89</v>
      </c>
      <c r="U19" t="s">
        <v>83</v>
      </c>
      <c r="V19" t="s">
        <v>84</v>
      </c>
      <c r="W19">
        <v>12277796</v>
      </c>
      <c r="X19" t="s">
        <v>90</v>
      </c>
      <c r="Y19">
        <f t="shared" si="0"/>
        <v>1.0942799999999999</v>
      </c>
      <c r="Z19">
        <f t="shared" si="1"/>
        <v>4.6360000000000001</v>
      </c>
      <c r="AA19">
        <f t="shared" si="2"/>
        <v>4.6360000000000001</v>
      </c>
      <c r="AB19" s="2">
        <f t="shared" si="16"/>
        <v>15</v>
      </c>
      <c r="AC19" s="2">
        <f t="shared" si="3"/>
        <v>12</v>
      </c>
      <c r="AD19" s="2">
        <f t="shared" si="4"/>
        <v>0</v>
      </c>
      <c r="AE19" s="2">
        <f t="shared" si="5"/>
        <v>0</v>
      </c>
      <c r="AF19" s="2">
        <f t="shared" si="6"/>
        <v>9</v>
      </c>
      <c r="AG19" s="2">
        <f t="shared" si="7"/>
        <v>0</v>
      </c>
      <c r="AH19" s="2">
        <f t="shared" si="8"/>
        <v>0</v>
      </c>
      <c r="AI19" s="1">
        <f t="shared" si="9"/>
        <v>166.89600000000002</v>
      </c>
      <c r="AJ19" s="1">
        <f t="shared" si="10"/>
        <v>278.16000000000003</v>
      </c>
      <c r="AK19" s="1" t="str">
        <f t="shared" si="11"/>
        <v/>
      </c>
      <c r="AL19" s="1" t="str">
        <f t="shared" si="12"/>
        <v/>
      </c>
      <c r="AM19" s="1">
        <f t="shared" si="13"/>
        <v>130</v>
      </c>
      <c r="AN19" s="5">
        <f t="shared" si="14"/>
        <v>0</v>
      </c>
      <c r="AO19" s="1" t="str">
        <f t="shared" si="15"/>
        <v/>
      </c>
    </row>
    <row r="20" spans="1:41">
      <c r="A20" t="s">
        <v>91</v>
      </c>
      <c r="B20" t="s">
        <v>76</v>
      </c>
      <c r="C20" t="s">
        <v>92</v>
      </c>
      <c r="D20">
        <v>1398</v>
      </c>
      <c r="E20">
        <v>482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 t="s">
        <v>93</v>
      </c>
      <c r="M20" t="s">
        <v>94</v>
      </c>
      <c r="N20" t="s">
        <v>80</v>
      </c>
      <c r="O20">
        <v>0</v>
      </c>
      <c r="P20" t="s">
        <v>81</v>
      </c>
      <c r="Q20" t="s">
        <v>82</v>
      </c>
      <c r="R20">
        <v>10641</v>
      </c>
      <c r="S20" t="s">
        <v>94</v>
      </c>
      <c r="U20" t="s">
        <v>83</v>
      </c>
      <c r="V20" t="s">
        <v>84</v>
      </c>
      <c r="W20">
        <v>12277780</v>
      </c>
      <c r="X20" t="s">
        <v>95</v>
      </c>
      <c r="Y20">
        <f t="shared" si="0"/>
        <v>0.67383599999999999</v>
      </c>
      <c r="Z20">
        <f t="shared" si="1"/>
        <v>3.76</v>
      </c>
      <c r="AA20">
        <f t="shared" si="2"/>
        <v>3.76</v>
      </c>
      <c r="AB20" s="2">
        <f t="shared" si="16"/>
        <v>15</v>
      </c>
      <c r="AC20" s="2">
        <f t="shared" si="3"/>
        <v>12</v>
      </c>
      <c r="AD20" s="2">
        <f t="shared" si="4"/>
        <v>0</v>
      </c>
      <c r="AE20" s="2">
        <f t="shared" si="5"/>
        <v>0</v>
      </c>
      <c r="AF20" s="2">
        <f t="shared" si="6"/>
        <v>9</v>
      </c>
      <c r="AG20" s="2">
        <f t="shared" si="7"/>
        <v>0</v>
      </c>
      <c r="AH20" s="2">
        <f t="shared" si="8"/>
        <v>0</v>
      </c>
      <c r="AI20" s="1">
        <f t="shared" si="9"/>
        <v>135.35999999999999</v>
      </c>
      <c r="AJ20" s="1">
        <f t="shared" si="10"/>
        <v>225.6</v>
      </c>
      <c r="AK20" s="1" t="str">
        <f t="shared" si="11"/>
        <v/>
      </c>
      <c r="AL20" s="1" t="str">
        <f t="shared" si="12"/>
        <v/>
      </c>
      <c r="AM20" s="1">
        <f t="shared" si="13"/>
        <v>130</v>
      </c>
      <c r="AN20" s="5">
        <f t="shared" si="14"/>
        <v>0</v>
      </c>
      <c r="AO20" s="1" t="str">
        <f t="shared" si="15"/>
        <v/>
      </c>
    </row>
    <row r="21" spans="1:41">
      <c r="A21" t="s">
        <v>96</v>
      </c>
      <c r="B21" t="s">
        <v>76</v>
      </c>
      <c r="C21" t="s">
        <v>97</v>
      </c>
      <c r="D21">
        <v>1398</v>
      </c>
      <c r="E21">
        <v>198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 t="s">
        <v>98</v>
      </c>
      <c r="M21" t="s">
        <v>99</v>
      </c>
      <c r="N21" t="s">
        <v>80</v>
      </c>
      <c r="O21">
        <v>0</v>
      </c>
      <c r="P21" t="s">
        <v>81</v>
      </c>
      <c r="Q21" t="s">
        <v>82</v>
      </c>
      <c r="R21">
        <v>10641</v>
      </c>
      <c r="S21" t="s">
        <v>99</v>
      </c>
      <c r="U21" t="s">
        <v>83</v>
      </c>
      <c r="V21" t="s">
        <v>84</v>
      </c>
      <c r="W21">
        <v>12277786</v>
      </c>
      <c r="X21" t="s">
        <v>95</v>
      </c>
      <c r="Y21">
        <f t="shared" si="0"/>
        <v>0.27680399999999999</v>
      </c>
      <c r="Z21">
        <f t="shared" si="1"/>
        <v>3.1920000000000002</v>
      </c>
      <c r="AA21">
        <f t="shared" si="2"/>
        <v>3.1920000000000002</v>
      </c>
      <c r="AB21" s="2">
        <f t="shared" si="16"/>
        <v>15</v>
      </c>
      <c r="AC21" s="2">
        <f t="shared" si="3"/>
        <v>12</v>
      </c>
      <c r="AD21" s="2">
        <f t="shared" si="4"/>
        <v>0</v>
      </c>
      <c r="AE21" s="2">
        <f t="shared" si="5"/>
        <v>0</v>
      </c>
      <c r="AF21" s="2">
        <f t="shared" si="6"/>
        <v>9</v>
      </c>
      <c r="AG21" s="2">
        <f t="shared" si="7"/>
        <v>0</v>
      </c>
      <c r="AH21" s="2">
        <f t="shared" si="8"/>
        <v>0</v>
      </c>
      <c r="AI21" s="1">
        <f t="shared" si="9"/>
        <v>114.91200000000001</v>
      </c>
      <c r="AJ21" s="1">
        <f t="shared" si="10"/>
        <v>191.52</v>
      </c>
      <c r="AK21" s="1" t="str">
        <f t="shared" si="11"/>
        <v/>
      </c>
      <c r="AL21" s="1" t="str">
        <f t="shared" si="12"/>
        <v/>
      </c>
      <c r="AM21" s="1">
        <f t="shared" si="13"/>
        <v>130</v>
      </c>
      <c r="AN21" s="5">
        <f t="shared" si="14"/>
        <v>0</v>
      </c>
      <c r="AO21" s="1" t="str">
        <f t="shared" si="15"/>
        <v/>
      </c>
    </row>
    <row r="22" spans="1:41">
      <c r="A22" t="s">
        <v>100</v>
      </c>
      <c r="B22" t="s">
        <v>76</v>
      </c>
      <c r="C22" t="s">
        <v>101</v>
      </c>
      <c r="D22">
        <v>457</v>
      </c>
      <c r="E22">
        <v>158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 t="s">
        <v>102</v>
      </c>
      <c r="M22" t="s">
        <v>103</v>
      </c>
      <c r="N22" t="s">
        <v>80</v>
      </c>
      <c r="O22">
        <v>0</v>
      </c>
      <c r="P22" t="s">
        <v>104</v>
      </c>
      <c r="Q22" t="s">
        <v>82</v>
      </c>
      <c r="R22">
        <v>10641</v>
      </c>
      <c r="S22" t="s">
        <v>103</v>
      </c>
      <c r="U22" t="s">
        <v>105</v>
      </c>
      <c r="V22" t="s">
        <v>106</v>
      </c>
      <c r="W22">
        <v>12279280</v>
      </c>
      <c r="X22" t="s">
        <v>104</v>
      </c>
      <c r="Y22">
        <f t="shared" si="0"/>
        <v>7.2206000000000006E-2</v>
      </c>
      <c r="Z22">
        <f t="shared" si="1"/>
        <v>1.23</v>
      </c>
      <c r="AA22">
        <f t="shared" si="2"/>
        <v>1.23</v>
      </c>
      <c r="AB22" s="2">
        <f t="shared" si="16"/>
        <v>18</v>
      </c>
      <c r="AC22" s="2">
        <f t="shared" si="3"/>
        <v>12</v>
      </c>
      <c r="AD22" s="2">
        <f t="shared" si="4"/>
        <v>0</v>
      </c>
      <c r="AE22" s="2">
        <f t="shared" si="5"/>
        <v>0</v>
      </c>
      <c r="AF22" s="2">
        <f t="shared" si="6"/>
        <v>9</v>
      </c>
      <c r="AG22" s="2">
        <f t="shared" si="7"/>
        <v>0</v>
      </c>
      <c r="AH22" s="2">
        <f t="shared" si="8"/>
        <v>0</v>
      </c>
      <c r="AI22" s="1">
        <f t="shared" si="9"/>
        <v>44.28</v>
      </c>
      <c r="AJ22" s="1">
        <f t="shared" si="10"/>
        <v>73.8</v>
      </c>
      <c r="AK22" s="1" t="str">
        <f t="shared" si="11"/>
        <v/>
      </c>
      <c r="AL22" s="1" t="str">
        <f t="shared" si="12"/>
        <v/>
      </c>
      <c r="AM22" s="1">
        <f t="shared" si="13"/>
        <v>130</v>
      </c>
      <c r="AN22" s="5">
        <f t="shared" si="14"/>
        <v>0</v>
      </c>
      <c r="AO22" s="1" t="str">
        <f t="shared" si="15"/>
        <v/>
      </c>
    </row>
    <row r="23" spans="1:41">
      <c r="A23" t="s">
        <v>107</v>
      </c>
      <c r="B23" t="s">
        <v>76</v>
      </c>
      <c r="C23" t="s">
        <v>108</v>
      </c>
      <c r="D23">
        <v>457</v>
      </c>
      <c r="E23">
        <v>158</v>
      </c>
      <c r="F23">
        <v>0</v>
      </c>
      <c r="G23">
        <v>2</v>
      </c>
      <c r="H23">
        <v>1</v>
      </c>
      <c r="I23">
        <v>1</v>
      </c>
      <c r="J23">
        <v>1</v>
      </c>
      <c r="K23">
        <v>1</v>
      </c>
      <c r="L23" t="s">
        <v>109</v>
      </c>
      <c r="M23" t="s">
        <v>110</v>
      </c>
      <c r="N23" t="s">
        <v>80</v>
      </c>
      <c r="O23">
        <v>0</v>
      </c>
      <c r="P23" t="s">
        <v>104</v>
      </c>
      <c r="Q23" t="s">
        <v>82</v>
      </c>
      <c r="R23">
        <v>10641</v>
      </c>
      <c r="S23" t="s">
        <v>110</v>
      </c>
      <c r="U23" t="s">
        <v>105</v>
      </c>
      <c r="V23" t="s">
        <v>106</v>
      </c>
      <c r="W23">
        <v>12279277</v>
      </c>
      <c r="X23" t="s">
        <v>104</v>
      </c>
      <c r="Y23">
        <f t="shared" si="0"/>
        <v>0.14441200000000001</v>
      </c>
      <c r="Z23">
        <f t="shared" si="1"/>
        <v>2.46</v>
      </c>
      <c r="AA23">
        <f t="shared" si="2"/>
        <v>2.46</v>
      </c>
      <c r="AB23" s="2">
        <f t="shared" si="16"/>
        <v>18</v>
      </c>
      <c r="AC23" s="2">
        <f t="shared" si="3"/>
        <v>12</v>
      </c>
      <c r="AD23" s="2">
        <f t="shared" si="4"/>
        <v>0</v>
      </c>
      <c r="AE23" s="2">
        <f t="shared" si="5"/>
        <v>0</v>
      </c>
      <c r="AF23" s="2">
        <f t="shared" si="6"/>
        <v>9</v>
      </c>
      <c r="AG23" s="2">
        <f t="shared" si="7"/>
        <v>0</v>
      </c>
      <c r="AH23" s="2">
        <f t="shared" si="8"/>
        <v>0</v>
      </c>
      <c r="AI23" s="1">
        <f t="shared" si="9"/>
        <v>88.56</v>
      </c>
      <c r="AJ23" s="1">
        <f t="shared" si="10"/>
        <v>147.6</v>
      </c>
      <c r="AK23" s="1" t="str">
        <f t="shared" si="11"/>
        <v/>
      </c>
      <c r="AL23" s="1" t="str">
        <f t="shared" si="12"/>
        <v/>
      </c>
      <c r="AM23" s="1">
        <f t="shared" si="13"/>
        <v>260</v>
      </c>
      <c r="AN23" s="5">
        <f t="shared" si="14"/>
        <v>0</v>
      </c>
      <c r="AO23" s="1" t="str">
        <f t="shared" si="15"/>
        <v/>
      </c>
    </row>
    <row r="24" spans="1:41">
      <c r="A24" t="s">
        <v>111</v>
      </c>
      <c r="B24" t="s">
        <v>76</v>
      </c>
      <c r="C24" t="s">
        <v>112</v>
      </c>
      <c r="D24">
        <v>798</v>
      </c>
      <c r="E24">
        <v>548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 t="s">
        <v>113</v>
      </c>
      <c r="M24" t="s">
        <v>114</v>
      </c>
      <c r="N24" t="s">
        <v>80</v>
      </c>
      <c r="O24">
        <v>0</v>
      </c>
      <c r="P24" t="s">
        <v>104</v>
      </c>
      <c r="Q24" t="s">
        <v>82</v>
      </c>
      <c r="R24">
        <v>10641</v>
      </c>
      <c r="S24" t="s">
        <v>114</v>
      </c>
      <c r="U24" t="s">
        <v>105</v>
      </c>
      <c r="V24" t="s">
        <v>106</v>
      </c>
      <c r="W24">
        <v>12279295</v>
      </c>
      <c r="X24" t="s">
        <v>104</v>
      </c>
      <c r="Y24">
        <f t="shared" si="0"/>
        <v>0.43730400000000003</v>
      </c>
      <c r="Z24">
        <f t="shared" si="1"/>
        <v>2.6920000000000002</v>
      </c>
      <c r="AA24">
        <f t="shared" si="2"/>
        <v>2.6920000000000002</v>
      </c>
      <c r="AB24" s="2">
        <f t="shared" si="16"/>
        <v>15</v>
      </c>
      <c r="AC24" s="2">
        <f t="shared" si="3"/>
        <v>12</v>
      </c>
      <c r="AD24" s="2">
        <f t="shared" si="4"/>
        <v>0</v>
      </c>
      <c r="AE24" s="2">
        <f t="shared" si="5"/>
        <v>0</v>
      </c>
      <c r="AF24" s="2">
        <f t="shared" si="6"/>
        <v>9</v>
      </c>
      <c r="AG24" s="2">
        <f t="shared" si="7"/>
        <v>0</v>
      </c>
      <c r="AH24" s="2">
        <f t="shared" si="8"/>
        <v>0</v>
      </c>
      <c r="AI24" s="1">
        <f t="shared" si="9"/>
        <v>96.912000000000006</v>
      </c>
      <c r="AJ24" s="1">
        <f t="shared" si="10"/>
        <v>161.52000000000001</v>
      </c>
      <c r="AK24" s="1" t="str">
        <f t="shared" si="11"/>
        <v/>
      </c>
      <c r="AL24" s="1" t="str">
        <f t="shared" si="12"/>
        <v/>
      </c>
      <c r="AM24" s="1">
        <f t="shared" si="13"/>
        <v>130</v>
      </c>
      <c r="AN24" s="5">
        <f t="shared" si="14"/>
        <v>0</v>
      </c>
      <c r="AO24" s="1" t="str">
        <f t="shared" si="15"/>
        <v/>
      </c>
    </row>
    <row r="25" spans="1:41">
      <c r="A25" t="s">
        <v>115</v>
      </c>
      <c r="B25" t="s">
        <v>76</v>
      </c>
      <c r="C25" t="s">
        <v>116</v>
      </c>
      <c r="D25">
        <v>492</v>
      </c>
      <c r="E25">
        <v>528</v>
      </c>
      <c r="F25">
        <v>0</v>
      </c>
      <c r="G25">
        <v>1</v>
      </c>
      <c r="J25">
        <v>1</v>
      </c>
      <c r="K25">
        <v>1</v>
      </c>
      <c r="L25" t="s">
        <v>117</v>
      </c>
      <c r="M25" t="s">
        <v>118</v>
      </c>
      <c r="N25" t="s">
        <v>80</v>
      </c>
      <c r="O25">
        <v>0</v>
      </c>
      <c r="P25" t="s">
        <v>104</v>
      </c>
      <c r="Q25" t="s">
        <v>82</v>
      </c>
      <c r="R25">
        <v>10641</v>
      </c>
      <c r="S25" t="s">
        <v>118</v>
      </c>
      <c r="U25" t="s">
        <v>105</v>
      </c>
      <c r="V25" t="s">
        <v>106</v>
      </c>
      <c r="W25">
        <v>12279292</v>
      </c>
      <c r="X25" t="s">
        <v>104</v>
      </c>
      <c r="Y25">
        <f t="shared" si="0"/>
        <v>0.25977600000000001</v>
      </c>
      <c r="Z25">
        <f t="shared" si="1"/>
        <v>2.04</v>
      </c>
      <c r="AA25">
        <f t="shared" si="2"/>
        <v>1.056</v>
      </c>
      <c r="AB25" s="2">
        <f t="shared" si="16"/>
        <v>18</v>
      </c>
      <c r="AC25" s="2">
        <f t="shared" si="3"/>
        <v>12</v>
      </c>
      <c r="AD25" s="2">
        <f t="shared" si="4"/>
        <v>0</v>
      </c>
      <c r="AE25" s="2">
        <f t="shared" si="5"/>
        <v>15</v>
      </c>
      <c r="AF25" s="2">
        <f t="shared" si="6"/>
        <v>9</v>
      </c>
      <c r="AG25" s="2">
        <f t="shared" si="7"/>
        <v>0</v>
      </c>
      <c r="AH25" s="2">
        <f t="shared" si="8"/>
        <v>0</v>
      </c>
      <c r="AI25" s="1">
        <f t="shared" si="9"/>
        <v>73.44</v>
      </c>
      <c r="AJ25" s="1">
        <f t="shared" si="10"/>
        <v>63.36</v>
      </c>
      <c r="AK25" s="1" t="str">
        <f t="shared" si="11"/>
        <v/>
      </c>
      <c r="AL25" s="1">
        <f t="shared" si="12"/>
        <v>240</v>
      </c>
      <c r="AM25" s="1">
        <f t="shared" si="13"/>
        <v>130</v>
      </c>
      <c r="AN25" s="5">
        <f t="shared" si="14"/>
        <v>0</v>
      </c>
      <c r="AO25" s="1" t="str">
        <f t="shared" si="15"/>
        <v/>
      </c>
    </row>
    <row r="26" spans="1:41">
      <c r="A26" t="s">
        <v>119</v>
      </c>
      <c r="B26" t="s">
        <v>76</v>
      </c>
      <c r="C26" t="s">
        <v>120</v>
      </c>
      <c r="D26">
        <v>492</v>
      </c>
      <c r="E26">
        <v>528</v>
      </c>
      <c r="F26">
        <v>0</v>
      </c>
      <c r="G26">
        <v>1</v>
      </c>
      <c r="J26">
        <v>1</v>
      </c>
      <c r="K26">
        <v>1</v>
      </c>
      <c r="L26" t="s">
        <v>119</v>
      </c>
      <c r="M26" t="s">
        <v>121</v>
      </c>
      <c r="N26" t="s">
        <v>80</v>
      </c>
      <c r="O26">
        <v>0</v>
      </c>
      <c r="P26" t="s">
        <v>104</v>
      </c>
      <c r="Q26" t="s">
        <v>82</v>
      </c>
      <c r="R26">
        <v>10641</v>
      </c>
      <c r="S26" t="s">
        <v>121</v>
      </c>
      <c r="U26" t="s">
        <v>105</v>
      </c>
      <c r="V26" t="s">
        <v>106</v>
      </c>
      <c r="W26">
        <v>12279298</v>
      </c>
      <c r="X26" t="s">
        <v>104</v>
      </c>
      <c r="Y26">
        <f t="shared" si="0"/>
        <v>0.25977600000000001</v>
      </c>
      <c r="Z26">
        <f t="shared" si="1"/>
        <v>2.04</v>
      </c>
      <c r="AA26">
        <f t="shared" si="2"/>
        <v>1.056</v>
      </c>
      <c r="AB26" s="2">
        <f t="shared" si="16"/>
        <v>18</v>
      </c>
      <c r="AC26" s="2">
        <f t="shared" si="3"/>
        <v>15</v>
      </c>
      <c r="AD26" s="2">
        <f t="shared" si="4"/>
        <v>0</v>
      </c>
      <c r="AE26" s="2">
        <f t="shared" si="5"/>
        <v>0</v>
      </c>
      <c r="AF26" s="2">
        <f t="shared" si="6"/>
        <v>12</v>
      </c>
      <c r="AG26" s="2">
        <f t="shared" si="7"/>
        <v>0</v>
      </c>
      <c r="AH26" s="2">
        <f t="shared" si="8"/>
        <v>0</v>
      </c>
      <c r="AI26" s="1">
        <f t="shared" si="9"/>
        <v>73.44</v>
      </c>
      <c r="AJ26" s="1">
        <f t="shared" si="10"/>
        <v>63.36</v>
      </c>
      <c r="AK26" s="1" t="str">
        <f t="shared" si="11"/>
        <v/>
      </c>
      <c r="AL26" s="1" t="str">
        <f t="shared" si="12"/>
        <v/>
      </c>
      <c r="AM26" s="1">
        <f t="shared" si="13"/>
        <v>130</v>
      </c>
      <c r="AN26" s="5">
        <f t="shared" si="14"/>
        <v>0</v>
      </c>
      <c r="AO26" s="1" t="str">
        <f t="shared" si="15"/>
        <v/>
      </c>
    </row>
    <row r="27" spans="1:41">
      <c r="A27" t="s">
        <v>122</v>
      </c>
      <c r="B27" t="s">
        <v>76</v>
      </c>
      <c r="C27" t="s">
        <v>123</v>
      </c>
      <c r="D27">
        <v>492</v>
      </c>
      <c r="E27">
        <v>511</v>
      </c>
      <c r="F27">
        <v>0</v>
      </c>
      <c r="G27">
        <v>1</v>
      </c>
      <c r="K27">
        <v>1</v>
      </c>
      <c r="L27" t="s">
        <v>122</v>
      </c>
      <c r="M27" t="s">
        <v>124</v>
      </c>
      <c r="N27" t="s">
        <v>80</v>
      </c>
      <c r="O27">
        <v>0</v>
      </c>
      <c r="P27" t="s">
        <v>104</v>
      </c>
      <c r="Q27" t="s">
        <v>82</v>
      </c>
      <c r="R27">
        <v>10641</v>
      </c>
      <c r="S27" t="s">
        <v>124</v>
      </c>
      <c r="U27" t="s">
        <v>105</v>
      </c>
      <c r="V27" t="s">
        <v>106</v>
      </c>
      <c r="W27">
        <v>12279289</v>
      </c>
      <c r="X27" t="s">
        <v>104</v>
      </c>
      <c r="Y27">
        <f t="shared" si="0"/>
        <v>0.25141200000000002</v>
      </c>
      <c r="Z27">
        <f t="shared" si="1"/>
        <v>2.0059999999999998</v>
      </c>
      <c r="AA27">
        <f t="shared" si="2"/>
        <v>0.51100000000000001</v>
      </c>
      <c r="AB27" s="2">
        <f t="shared" si="16"/>
        <v>18</v>
      </c>
      <c r="AC27" s="2">
        <f t="shared" si="3"/>
        <v>15</v>
      </c>
      <c r="AD27" s="2">
        <f t="shared" si="4"/>
        <v>0</v>
      </c>
      <c r="AE27" s="2">
        <f t="shared" si="5"/>
        <v>0</v>
      </c>
      <c r="AF27" s="2">
        <f t="shared" si="6"/>
        <v>12</v>
      </c>
      <c r="AG27" s="2">
        <f t="shared" si="7"/>
        <v>0</v>
      </c>
      <c r="AH27" s="2">
        <f t="shared" si="8"/>
        <v>0</v>
      </c>
      <c r="AI27" s="1">
        <f t="shared" si="9"/>
        <v>72.215999999999994</v>
      </c>
      <c r="AJ27" s="1">
        <f t="shared" si="10"/>
        <v>30.66</v>
      </c>
      <c r="AK27" s="1" t="str">
        <f t="shared" si="11"/>
        <v/>
      </c>
      <c r="AL27" s="1" t="str">
        <f t="shared" si="12"/>
        <v/>
      </c>
      <c r="AM27" s="1">
        <f t="shared" si="13"/>
        <v>130</v>
      </c>
      <c r="AN27" s="5">
        <f t="shared" si="14"/>
        <v>0</v>
      </c>
      <c r="AO27" s="1" t="str">
        <f t="shared" si="15"/>
        <v/>
      </c>
    </row>
    <row r="28" spans="1:41">
      <c r="A28" t="s">
        <v>125</v>
      </c>
      <c r="B28" t="s">
        <v>76</v>
      </c>
      <c r="C28" t="s">
        <v>126</v>
      </c>
      <c r="D28">
        <v>798</v>
      </c>
      <c r="E28">
        <v>548</v>
      </c>
      <c r="F28">
        <v>0</v>
      </c>
      <c r="G28">
        <v>1</v>
      </c>
      <c r="H28">
        <v>1</v>
      </c>
      <c r="I28">
        <v>1</v>
      </c>
      <c r="J28">
        <v>1</v>
      </c>
      <c r="K28">
        <v>1</v>
      </c>
      <c r="L28" t="s">
        <v>127</v>
      </c>
      <c r="M28" t="s">
        <v>128</v>
      </c>
      <c r="N28" t="s">
        <v>80</v>
      </c>
      <c r="O28">
        <v>0</v>
      </c>
      <c r="P28" t="s">
        <v>104</v>
      </c>
      <c r="Q28" t="s">
        <v>82</v>
      </c>
      <c r="R28">
        <v>10641</v>
      </c>
      <c r="S28" t="s">
        <v>128</v>
      </c>
      <c r="U28" t="s">
        <v>105</v>
      </c>
      <c r="V28" t="s">
        <v>106</v>
      </c>
      <c r="W28">
        <v>12279286</v>
      </c>
      <c r="X28" t="s">
        <v>104</v>
      </c>
      <c r="Y28">
        <f t="shared" si="0"/>
        <v>0.43730400000000003</v>
      </c>
      <c r="Z28">
        <f t="shared" si="1"/>
        <v>2.6920000000000002</v>
      </c>
      <c r="AA28">
        <f t="shared" si="2"/>
        <v>2.6920000000000002</v>
      </c>
      <c r="AB28" s="2">
        <f t="shared" si="16"/>
        <v>15</v>
      </c>
      <c r="AC28" s="2">
        <f t="shared" si="3"/>
        <v>12</v>
      </c>
      <c r="AD28" s="2">
        <f t="shared" si="4"/>
        <v>0</v>
      </c>
      <c r="AE28" s="2">
        <f t="shared" si="5"/>
        <v>0</v>
      </c>
      <c r="AF28" s="2">
        <f t="shared" si="6"/>
        <v>9</v>
      </c>
      <c r="AG28" s="2">
        <f t="shared" si="7"/>
        <v>0</v>
      </c>
      <c r="AH28" s="2">
        <f t="shared" si="8"/>
        <v>0</v>
      </c>
      <c r="AI28" s="1">
        <f t="shared" si="9"/>
        <v>96.912000000000006</v>
      </c>
      <c r="AJ28" s="1">
        <f t="shared" si="10"/>
        <v>161.52000000000001</v>
      </c>
      <c r="AK28" s="1" t="str">
        <f t="shared" si="11"/>
        <v/>
      </c>
      <c r="AL28" s="1" t="str">
        <f t="shared" si="12"/>
        <v/>
      </c>
      <c r="AM28" s="1">
        <f t="shared" si="13"/>
        <v>130</v>
      </c>
      <c r="AN28" s="5">
        <f t="shared" si="14"/>
        <v>0</v>
      </c>
      <c r="AO28" s="1" t="str">
        <f t="shared" si="15"/>
        <v/>
      </c>
    </row>
    <row r="29" spans="1:41">
      <c r="A29" t="s">
        <v>129</v>
      </c>
      <c r="B29" t="s">
        <v>76</v>
      </c>
      <c r="C29" t="s">
        <v>130</v>
      </c>
      <c r="D29">
        <v>598</v>
      </c>
      <c r="E29">
        <v>458</v>
      </c>
      <c r="F29">
        <v>0</v>
      </c>
      <c r="G29">
        <v>2</v>
      </c>
      <c r="H29">
        <v>1</v>
      </c>
      <c r="I29">
        <v>1</v>
      </c>
      <c r="J29">
        <v>1</v>
      </c>
      <c r="K29">
        <v>1</v>
      </c>
      <c r="L29" t="s">
        <v>131</v>
      </c>
      <c r="M29" t="s">
        <v>132</v>
      </c>
      <c r="N29" t="s">
        <v>80</v>
      </c>
      <c r="O29">
        <v>0</v>
      </c>
      <c r="P29" t="s">
        <v>133</v>
      </c>
      <c r="Q29" t="s">
        <v>134</v>
      </c>
      <c r="R29">
        <v>10695</v>
      </c>
      <c r="S29" t="s">
        <v>132</v>
      </c>
      <c r="U29" t="s">
        <v>135</v>
      </c>
      <c r="V29" t="s">
        <v>136</v>
      </c>
      <c r="W29">
        <v>12278914</v>
      </c>
      <c r="X29" t="s">
        <v>137</v>
      </c>
      <c r="Y29">
        <f t="shared" si="0"/>
        <v>0.54776800000000003</v>
      </c>
      <c r="Z29">
        <f t="shared" si="1"/>
        <v>4.2240000000000002</v>
      </c>
      <c r="AA29">
        <f t="shared" si="2"/>
        <v>4.2240000000000002</v>
      </c>
      <c r="AB29" s="2">
        <f t="shared" si="16"/>
        <v>16</v>
      </c>
      <c r="AC29" s="2">
        <f t="shared" si="3"/>
        <v>13</v>
      </c>
      <c r="AD29" s="2">
        <f t="shared" si="4"/>
        <v>0</v>
      </c>
      <c r="AE29" s="2">
        <f t="shared" si="5"/>
        <v>0</v>
      </c>
      <c r="AF29" s="2">
        <f t="shared" si="6"/>
        <v>10</v>
      </c>
      <c r="AG29" s="2">
        <f t="shared" si="7"/>
        <v>0</v>
      </c>
      <c r="AH29" s="2">
        <f t="shared" si="8"/>
        <v>0</v>
      </c>
      <c r="AI29" s="1">
        <f t="shared" si="9"/>
        <v>152.06400000000002</v>
      </c>
      <c r="AJ29" s="1">
        <f t="shared" si="10"/>
        <v>253.44</v>
      </c>
      <c r="AK29" s="1" t="str">
        <f t="shared" si="11"/>
        <v/>
      </c>
      <c r="AL29" s="1" t="str">
        <f t="shared" si="12"/>
        <v/>
      </c>
      <c r="AM29" s="1">
        <f t="shared" si="13"/>
        <v>260</v>
      </c>
      <c r="AN29" s="5">
        <f t="shared" si="14"/>
        <v>0</v>
      </c>
      <c r="AO29" s="1" t="str">
        <f t="shared" si="15"/>
        <v/>
      </c>
    </row>
    <row r="30" spans="1:41">
      <c r="A30" t="s">
        <v>138</v>
      </c>
      <c r="B30" t="s">
        <v>76</v>
      </c>
      <c r="C30" t="s">
        <v>139</v>
      </c>
      <c r="D30">
        <v>700</v>
      </c>
      <c r="E30">
        <v>578</v>
      </c>
      <c r="F30">
        <v>0</v>
      </c>
      <c r="G30">
        <v>2</v>
      </c>
      <c r="H30">
        <v>1</v>
      </c>
      <c r="I30">
        <v>1</v>
      </c>
      <c r="L30" t="s">
        <v>140</v>
      </c>
      <c r="M30" t="s">
        <v>141</v>
      </c>
      <c r="N30" t="s">
        <v>80</v>
      </c>
      <c r="O30">
        <v>0</v>
      </c>
      <c r="P30" t="s">
        <v>133</v>
      </c>
      <c r="Q30" t="s">
        <v>134</v>
      </c>
      <c r="R30">
        <v>10695</v>
      </c>
      <c r="S30" t="s">
        <v>141</v>
      </c>
      <c r="U30" t="s">
        <v>135</v>
      </c>
      <c r="V30" t="s">
        <v>136</v>
      </c>
      <c r="W30">
        <v>12278913</v>
      </c>
      <c r="X30" t="s">
        <v>137</v>
      </c>
      <c r="Y30">
        <f t="shared" si="0"/>
        <v>0.80920000000000003</v>
      </c>
      <c r="Z30">
        <f t="shared" si="1"/>
        <v>5.1120000000000001</v>
      </c>
      <c r="AA30">
        <f t="shared" si="2"/>
        <v>2.8</v>
      </c>
      <c r="AB30" s="2">
        <f t="shared" si="16"/>
        <v>19</v>
      </c>
      <c r="AC30" s="2">
        <f t="shared" si="3"/>
        <v>16</v>
      </c>
      <c r="AD30" s="2">
        <f t="shared" si="4"/>
        <v>0</v>
      </c>
      <c r="AE30" s="2">
        <f t="shared" si="5"/>
        <v>0</v>
      </c>
      <c r="AF30" s="2">
        <f t="shared" si="6"/>
        <v>13</v>
      </c>
      <c r="AG30" s="2">
        <f t="shared" si="7"/>
        <v>0</v>
      </c>
      <c r="AH30" s="2">
        <f t="shared" si="8"/>
        <v>0</v>
      </c>
      <c r="AI30" s="1">
        <f t="shared" si="9"/>
        <v>184.03200000000001</v>
      </c>
      <c r="AJ30" s="1">
        <f t="shared" si="10"/>
        <v>168</v>
      </c>
      <c r="AK30" s="1" t="str">
        <f t="shared" si="11"/>
        <v/>
      </c>
      <c r="AL30" s="1" t="str">
        <f t="shared" si="12"/>
        <v/>
      </c>
      <c r="AM30" s="1">
        <f t="shared" si="13"/>
        <v>260</v>
      </c>
      <c r="AN30" s="5">
        <f t="shared" si="14"/>
        <v>0</v>
      </c>
      <c r="AO30" s="1" t="str">
        <f t="shared" si="15"/>
        <v/>
      </c>
    </row>
    <row r="31" spans="1:41">
      <c r="A31" t="s">
        <v>142</v>
      </c>
      <c r="B31" t="s">
        <v>76</v>
      </c>
      <c r="C31" t="s">
        <v>143</v>
      </c>
      <c r="D31">
        <v>700</v>
      </c>
      <c r="E31">
        <v>578</v>
      </c>
      <c r="F31">
        <v>0</v>
      </c>
      <c r="G31">
        <v>2</v>
      </c>
      <c r="H31">
        <v>1</v>
      </c>
      <c r="I31">
        <v>1</v>
      </c>
      <c r="L31" t="s">
        <v>144</v>
      </c>
      <c r="M31" t="s">
        <v>145</v>
      </c>
      <c r="N31" t="s">
        <v>80</v>
      </c>
      <c r="O31">
        <v>0</v>
      </c>
      <c r="P31" t="s">
        <v>133</v>
      </c>
      <c r="Q31" t="s">
        <v>134</v>
      </c>
      <c r="R31">
        <v>10695</v>
      </c>
      <c r="S31" t="s">
        <v>145</v>
      </c>
      <c r="U31" t="s">
        <v>135</v>
      </c>
      <c r="V31" t="s">
        <v>136</v>
      </c>
      <c r="W31">
        <v>12278917</v>
      </c>
      <c r="X31" t="s">
        <v>137</v>
      </c>
      <c r="Y31">
        <f t="shared" si="0"/>
        <v>0.80920000000000003</v>
      </c>
      <c r="Z31">
        <f t="shared" si="1"/>
        <v>5.1120000000000001</v>
      </c>
      <c r="AA31">
        <f t="shared" si="2"/>
        <v>2.8</v>
      </c>
      <c r="AB31" s="2">
        <f t="shared" si="16"/>
        <v>16</v>
      </c>
      <c r="AC31" s="2">
        <f t="shared" si="3"/>
        <v>13</v>
      </c>
      <c r="AD31" s="2">
        <f t="shared" si="4"/>
        <v>0</v>
      </c>
      <c r="AE31" s="2">
        <f t="shared" si="5"/>
        <v>0</v>
      </c>
      <c r="AF31" s="2">
        <f t="shared" si="6"/>
        <v>10</v>
      </c>
      <c r="AG31" s="2">
        <f t="shared" si="7"/>
        <v>0</v>
      </c>
      <c r="AH31" s="2">
        <f t="shared" si="8"/>
        <v>0</v>
      </c>
      <c r="AI31" s="1">
        <f t="shared" si="9"/>
        <v>184.03200000000001</v>
      </c>
      <c r="AJ31" s="1">
        <f t="shared" si="10"/>
        <v>168</v>
      </c>
      <c r="AK31" s="1" t="str">
        <f t="shared" si="11"/>
        <v/>
      </c>
      <c r="AL31" s="1" t="str">
        <f t="shared" si="12"/>
        <v/>
      </c>
      <c r="AM31" s="1">
        <f t="shared" si="13"/>
        <v>260</v>
      </c>
      <c r="AN31" s="5">
        <f t="shared" si="14"/>
        <v>0</v>
      </c>
      <c r="AO31" s="1" t="str">
        <f t="shared" si="15"/>
        <v/>
      </c>
    </row>
    <row r="32" spans="1:41">
      <c r="A32" t="s">
        <v>146</v>
      </c>
      <c r="B32" t="s">
        <v>76</v>
      </c>
      <c r="C32" t="s">
        <v>147</v>
      </c>
      <c r="D32">
        <v>1598</v>
      </c>
      <c r="E32">
        <v>1498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 t="s">
        <v>148</v>
      </c>
      <c r="M32" t="s">
        <v>79</v>
      </c>
      <c r="N32" t="s">
        <v>80</v>
      </c>
      <c r="O32">
        <v>0</v>
      </c>
      <c r="P32" t="s">
        <v>133</v>
      </c>
      <c r="Q32" t="s">
        <v>134</v>
      </c>
      <c r="R32">
        <v>10695</v>
      </c>
      <c r="S32" t="s">
        <v>79</v>
      </c>
      <c r="U32" t="s">
        <v>135</v>
      </c>
      <c r="V32" t="s">
        <v>136</v>
      </c>
      <c r="W32">
        <v>12278920</v>
      </c>
      <c r="X32" t="s">
        <v>149</v>
      </c>
      <c r="Y32">
        <f t="shared" si="0"/>
        <v>2.3938039999999998</v>
      </c>
      <c r="Z32">
        <f t="shared" si="1"/>
        <v>6.1920000000000002</v>
      </c>
      <c r="AA32">
        <f t="shared" si="2"/>
        <v>6.1920000000000002</v>
      </c>
      <c r="AB32" s="2">
        <f t="shared" si="16"/>
        <v>16</v>
      </c>
      <c r="AC32" s="2">
        <f t="shared" si="3"/>
        <v>13</v>
      </c>
      <c r="AD32" s="2">
        <f t="shared" si="4"/>
        <v>0</v>
      </c>
      <c r="AE32" s="2">
        <f t="shared" si="5"/>
        <v>0</v>
      </c>
      <c r="AF32" s="2">
        <f t="shared" si="6"/>
        <v>10</v>
      </c>
      <c r="AG32" s="2">
        <f t="shared" si="7"/>
        <v>0</v>
      </c>
      <c r="AH32" s="2">
        <f t="shared" si="8"/>
        <v>0</v>
      </c>
      <c r="AI32" s="1">
        <f t="shared" si="9"/>
        <v>222.91200000000001</v>
      </c>
      <c r="AJ32" s="1">
        <f t="shared" si="10"/>
        <v>371.52</v>
      </c>
      <c r="AK32" s="1" t="str">
        <f t="shared" si="11"/>
        <v/>
      </c>
      <c r="AL32" s="1" t="str">
        <f t="shared" si="12"/>
        <v/>
      </c>
      <c r="AM32" s="1">
        <f t="shared" si="13"/>
        <v>130</v>
      </c>
      <c r="AN32" s="5">
        <f t="shared" si="14"/>
        <v>0</v>
      </c>
      <c r="AO32" s="1" t="str">
        <f t="shared" si="15"/>
        <v/>
      </c>
    </row>
    <row r="33" spans="1:41">
      <c r="A33" t="s">
        <v>150</v>
      </c>
      <c r="B33" t="s">
        <v>76</v>
      </c>
      <c r="C33" t="s">
        <v>151</v>
      </c>
      <c r="D33">
        <v>968</v>
      </c>
      <c r="E33">
        <v>448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 t="s">
        <v>152</v>
      </c>
      <c r="M33" t="s">
        <v>153</v>
      </c>
      <c r="N33" t="s">
        <v>80</v>
      </c>
      <c r="O33">
        <v>0</v>
      </c>
      <c r="P33" t="s">
        <v>154</v>
      </c>
      <c r="Q33" t="s">
        <v>134</v>
      </c>
      <c r="R33">
        <v>10695</v>
      </c>
      <c r="S33" t="s">
        <v>153</v>
      </c>
      <c r="U33" t="s">
        <v>135</v>
      </c>
      <c r="V33" t="s">
        <v>155</v>
      </c>
      <c r="W33">
        <v>12279321</v>
      </c>
      <c r="X33" t="s">
        <v>156</v>
      </c>
      <c r="Y33">
        <f t="shared" si="0"/>
        <v>0.43366399999999999</v>
      </c>
      <c r="Z33">
        <f t="shared" si="1"/>
        <v>2.8319999999999999</v>
      </c>
      <c r="AA33">
        <f t="shared" si="2"/>
        <v>2.8319999999999999</v>
      </c>
      <c r="AB33" s="2">
        <f t="shared" si="16"/>
        <v>16</v>
      </c>
      <c r="AC33" s="2">
        <f t="shared" si="3"/>
        <v>13</v>
      </c>
      <c r="AD33" s="2">
        <f t="shared" si="4"/>
        <v>0</v>
      </c>
      <c r="AE33" s="2">
        <f t="shared" si="5"/>
        <v>0</v>
      </c>
      <c r="AF33" s="2">
        <f t="shared" si="6"/>
        <v>10</v>
      </c>
      <c r="AG33" s="2">
        <f t="shared" si="7"/>
        <v>0</v>
      </c>
      <c r="AH33" s="2">
        <f t="shared" si="8"/>
        <v>0</v>
      </c>
      <c r="AI33" s="1">
        <f t="shared" si="9"/>
        <v>101.952</v>
      </c>
      <c r="AJ33" s="1">
        <f t="shared" si="10"/>
        <v>169.92</v>
      </c>
      <c r="AK33" s="1" t="str">
        <f t="shared" si="11"/>
        <v/>
      </c>
      <c r="AL33" s="1" t="str">
        <f t="shared" si="12"/>
        <v/>
      </c>
      <c r="AM33" s="1">
        <f t="shared" si="13"/>
        <v>130</v>
      </c>
      <c r="AN33" s="5">
        <f t="shared" si="14"/>
        <v>0</v>
      </c>
      <c r="AO33" s="1" t="str">
        <f t="shared" si="15"/>
        <v/>
      </c>
    </row>
    <row r="34" spans="1:41">
      <c r="A34" t="s">
        <v>157</v>
      </c>
      <c r="B34" t="s">
        <v>76</v>
      </c>
      <c r="C34" t="s">
        <v>158</v>
      </c>
      <c r="D34">
        <v>660</v>
      </c>
      <c r="E34">
        <v>626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 t="s">
        <v>159</v>
      </c>
      <c r="M34" t="s">
        <v>160</v>
      </c>
      <c r="N34" t="s">
        <v>80</v>
      </c>
      <c r="O34">
        <v>0</v>
      </c>
      <c r="P34" t="s">
        <v>81</v>
      </c>
      <c r="Q34" t="s">
        <v>82</v>
      </c>
      <c r="R34">
        <v>10641</v>
      </c>
      <c r="S34" t="s">
        <v>160</v>
      </c>
      <c r="U34" t="s">
        <v>83</v>
      </c>
      <c r="V34" t="s">
        <v>84</v>
      </c>
      <c r="W34">
        <v>12277793</v>
      </c>
      <c r="X34" t="s">
        <v>90</v>
      </c>
      <c r="Y34">
        <f t="shared" si="0"/>
        <v>0.41316000000000003</v>
      </c>
      <c r="Z34">
        <f t="shared" si="1"/>
        <v>2.5720000000000001</v>
      </c>
      <c r="AA34">
        <f t="shared" si="2"/>
        <v>2.5720000000000001</v>
      </c>
      <c r="AB34" s="2">
        <f t="shared" si="16"/>
        <v>15</v>
      </c>
      <c r="AC34" s="2">
        <f t="shared" si="3"/>
        <v>12</v>
      </c>
      <c r="AD34" s="2">
        <f t="shared" si="4"/>
        <v>0</v>
      </c>
      <c r="AE34" s="2">
        <f t="shared" si="5"/>
        <v>0</v>
      </c>
      <c r="AF34" s="2">
        <f t="shared" si="6"/>
        <v>9</v>
      </c>
      <c r="AG34" s="2">
        <f t="shared" si="7"/>
        <v>0</v>
      </c>
      <c r="AH34" s="2">
        <f t="shared" si="8"/>
        <v>0</v>
      </c>
      <c r="AI34" s="1">
        <f t="shared" si="9"/>
        <v>92.591999999999999</v>
      </c>
      <c r="AJ34" s="1">
        <f t="shared" si="10"/>
        <v>154.32</v>
      </c>
      <c r="AK34" s="1" t="str">
        <f t="shared" si="11"/>
        <v/>
      </c>
      <c r="AL34" s="1" t="str">
        <f t="shared" si="12"/>
        <v/>
      </c>
      <c r="AM34" s="1">
        <f t="shared" si="13"/>
        <v>130</v>
      </c>
      <c r="AN34" s="5">
        <f t="shared" si="14"/>
        <v>0</v>
      </c>
      <c r="AO34" s="1" t="str">
        <f t="shared" si="15"/>
        <v/>
      </c>
    </row>
    <row r="35" spans="1:41">
      <c r="A35" t="s">
        <v>161</v>
      </c>
      <c r="B35" t="s">
        <v>76</v>
      </c>
      <c r="C35" t="s">
        <v>162</v>
      </c>
      <c r="D35">
        <v>660</v>
      </c>
      <c r="E35">
        <v>626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 t="s">
        <v>163</v>
      </c>
      <c r="M35" t="s">
        <v>164</v>
      </c>
      <c r="N35" t="s">
        <v>80</v>
      </c>
      <c r="O35">
        <v>0</v>
      </c>
      <c r="P35" t="s">
        <v>81</v>
      </c>
      <c r="Q35" t="s">
        <v>82</v>
      </c>
      <c r="R35">
        <v>10641</v>
      </c>
      <c r="S35" t="s">
        <v>164</v>
      </c>
      <c r="U35" t="s">
        <v>83</v>
      </c>
      <c r="V35" t="s">
        <v>84</v>
      </c>
      <c r="W35">
        <v>12277790</v>
      </c>
      <c r="X35" t="s">
        <v>90</v>
      </c>
      <c r="Y35">
        <f t="shared" si="0"/>
        <v>0.41316000000000003</v>
      </c>
      <c r="Z35">
        <f t="shared" si="1"/>
        <v>2.5720000000000001</v>
      </c>
      <c r="AA35">
        <f t="shared" si="2"/>
        <v>2.5720000000000001</v>
      </c>
      <c r="AB35" s="2">
        <f t="shared" si="16"/>
        <v>15</v>
      </c>
      <c r="AC35" s="2">
        <f t="shared" si="3"/>
        <v>12</v>
      </c>
      <c r="AD35" s="2">
        <f t="shared" si="4"/>
        <v>0</v>
      </c>
      <c r="AE35" s="2">
        <f t="shared" si="5"/>
        <v>0</v>
      </c>
      <c r="AF35" s="2">
        <f t="shared" si="6"/>
        <v>9</v>
      </c>
      <c r="AG35" s="2">
        <f t="shared" si="7"/>
        <v>0</v>
      </c>
      <c r="AH35" s="2">
        <f t="shared" si="8"/>
        <v>0</v>
      </c>
      <c r="AI35" s="1">
        <f t="shared" si="9"/>
        <v>92.591999999999999</v>
      </c>
      <c r="AJ35" s="1">
        <f t="shared" si="10"/>
        <v>154.32</v>
      </c>
      <c r="AK35" s="1" t="str">
        <f t="shared" si="11"/>
        <v/>
      </c>
      <c r="AL35" s="1" t="str">
        <f t="shared" si="12"/>
        <v/>
      </c>
      <c r="AM35" s="1">
        <f t="shared" si="13"/>
        <v>130</v>
      </c>
      <c r="AN35" s="5">
        <f t="shared" si="14"/>
        <v>0</v>
      </c>
      <c r="AO35" s="1" t="str">
        <f t="shared" si="15"/>
        <v/>
      </c>
    </row>
    <row r="36" spans="1:41">
      <c r="A36" t="s">
        <v>165</v>
      </c>
      <c r="B36" t="s">
        <v>76</v>
      </c>
      <c r="C36" t="s">
        <v>166</v>
      </c>
      <c r="D36">
        <v>1161</v>
      </c>
      <c r="E36">
        <v>58</v>
      </c>
      <c r="F36">
        <v>0</v>
      </c>
      <c r="G36">
        <v>1</v>
      </c>
      <c r="H36">
        <v>1</v>
      </c>
      <c r="I36">
        <v>1</v>
      </c>
      <c r="L36" t="s">
        <v>167</v>
      </c>
      <c r="M36" t="s">
        <v>168</v>
      </c>
      <c r="N36" t="s">
        <v>80</v>
      </c>
      <c r="O36">
        <v>0</v>
      </c>
      <c r="P36" t="s">
        <v>169</v>
      </c>
      <c r="Q36" t="s">
        <v>134</v>
      </c>
      <c r="R36">
        <v>10695</v>
      </c>
      <c r="S36" t="s">
        <v>168</v>
      </c>
      <c r="U36" t="s">
        <v>170</v>
      </c>
      <c r="V36" t="s">
        <v>171</v>
      </c>
      <c r="W36">
        <v>12279249</v>
      </c>
      <c r="X36" t="s">
        <v>169</v>
      </c>
      <c r="Y36">
        <f t="shared" si="0"/>
        <v>6.7337999999999995E-2</v>
      </c>
      <c r="Z36">
        <f t="shared" si="1"/>
        <v>2.4380000000000002</v>
      </c>
      <c r="AA36">
        <f t="shared" si="2"/>
        <v>2.3220000000000001</v>
      </c>
      <c r="AB36" s="2">
        <f t="shared" si="16"/>
        <v>20</v>
      </c>
      <c r="AC36" s="2">
        <f t="shared" si="3"/>
        <v>17</v>
      </c>
      <c r="AD36" s="2">
        <f t="shared" si="4"/>
        <v>0</v>
      </c>
      <c r="AE36" s="2">
        <f t="shared" si="5"/>
        <v>0</v>
      </c>
      <c r="AF36" s="2">
        <f t="shared" si="6"/>
        <v>8</v>
      </c>
      <c r="AG36" s="2">
        <f t="shared" si="7"/>
        <v>0</v>
      </c>
      <c r="AH36" s="2">
        <f t="shared" si="8"/>
        <v>0</v>
      </c>
      <c r="AI36" s="1">
        <f t="shared" si="9"/>
        <v>87.768000000000001</v>
      </c>
      <c r="AJ36" s="1">
        <f t="shared" si="10"/>
        <v>139.32</v>
      </c>
      <c r="AK36" s="1" t="str">
        <f t="shared" si="11"/>
        <v/>
      </c>
      <c r="AL36" s="1" t="str">
        <f t="shared" si="12"/>
        <v/>
      </c>
      <c r="AM36" s="1">
        <f t="shared" si="13"/>
        <v>130</v>
      </c>
      <c r="AN36" s="5">
        <f t="shared" si="14"/>
        <v>0</v>
      </c>
      <c r="AO36" s="1" t="str">
        <f t="shared" si="15"/>
        <v/>
      </c>
    </row>
    <row r="37" spans="1:41">
      <c r="A37" t="s">
        <v>172</v>
      </c>
      <c r="B37" t="s">
        <v>76</v>
      </c>
      <c r="C37" t="s">
        <v>173</v>
      </c>
      <c r="D37">
        <v>1161</v>
      </c>
      <c r="E37">
        <v>58</v>
      </c>
      <c r="F37">
        <v>0</v>
      </c>
      <c r="G37">
        <v>1</v>
      </c>
      <c r="H37">
        <v>1</v>
      </c>
      <c r="I37">
        <v>1</v>
      </c>
      <c r="L37" t="s">
        <v>174</v>
      </c>
      <c r="M37" t="s">
        <v>175</v>
      </c>
      <c r="N37" t="s">
        <v>80</v>
      </c>
      <c r="O37">
        <v>0</v>
      </c>
      <c r="P37" t="s">
        <v>169</v>
      </c>
      <c r="Q37" t="s">
        <v>134</v>
      </c>
      <c r="R37">
        <v>10695</v>
      </c>
      <c r="S37" t="s">
        <v>175</v>
      </c>
      <c r="U37" t="s">
        <v>170</v>
      </c>
      <c r="V37" t="s">
        <v>171</v>
      </c>
      <c r="W37">
        <v>12279246</v>
      </c>
      <c r="X37" t="s">
        <v>169</v>
      </c>
      <c r="Y37">
        <f t="shared" si="0"/>
        <v>6.7337999999999995E-2</v>
      </c>
      <c r="Z37">
        <f t="shared" si="1"/>
        <v>2.4380000000000002</v>
      </c>
      <c r="AA37">
        <f t="shared" si="2"/>
        <v>2.3220000000000001</v>
      </c>
      <c r="AB37" s="2">
        <f t="shared" si="16"/>
        <v>23</v>
      </c>
      <c r="AC37" s="2">
        <f t="shared" si="3"/>
        <v>20</v>
      </c>
      <c r="AD37" s="2">
        <f t="shared" si="4"/>
        <v>0</v>
      </c>
      <c r="AE37" s="2">
        <f t="shared" si="5"/>
        <v>0</v>
      </c>
      <c r="AF37" s="2">
        <f t="shared" si="6"/>
        <v>11</v>
      </c>
      <c r="AG37" s="2">
        <f t="shared" si="7"/>
        <v>0</v>
      </c>
      <c r="AH37" s="2">
        <f t="shared" si="8"/>
        <v>0</v>
      </c>
      <c r="AI37" s="1">
        <f t="shared" si="9"/>
        <v>87.768000000000001</v>
      </c>
      <c r="AJ37" s="1">
        <f t="shared" si="10"/>
        <v>139.32</v>
      </c>
      <c r="AK37" s="1" t="str">
        <f t="shared" si="11"/>
        <v/>
      </c>
      <c r="AL37" s="1" t="str">
        <f t="shared" si="12"/>
        <v/>
      </c>
      <c r="AM37" s="1">
        <f t="shared" si="13"/>
        <v>130</v>
      </c>
      <c r="AN37" s="5">
        <f t="shared" si="14"/>
        <v>0</v>
      </c>
      <c r="AO37" s="1" t="str">
        <f t="shared" si="15"/>
        <v/>
      </c>
    </row>
    <row r="38" spans="1:41">
      <c r="A38" t="s">
        <v>176</v>
      </c>
      <c r="B38" t="s">
        <v>76</v>
      </c>
      <c r="C38" t="s">
        <v>177</v>
      </c>
      <c r="D38">
        <v>1161</v>
      </c>
      <c r="E38">
        <v>58</v>
      </c>
      <c r="F38">
        <v>0</v>
      </c>
      <c r="G38">
        <v>1</v>
      </c>
      <c r="H38">
        <v>1</v>
      </c>
      <c r="I38">
        <v>1</v>
      </c>
      <c r="L38" t="s">
        <v>178</v>
      </c>
      <c r="M38" t="s">
        <v>179</v>
      </c>
      <c r="N38" t="s">
        <v>80</v>
      </c>
      <c r="O38">
        <v>0</v>
      </c>
      <c r="P38" t="s">
        <v>169</v>
      </c>
      <c r="Q38" t="s">
        <v>134</v>
      </c>
      <c r="R38">
        <v>10695</v>
      </c>
      <c r="S38" t="s">
        <v>179</v>
      </c>
      <c r="U38" t="s">
        <v>170</v>
      </c>
      <c r="V38" t="s">
        <v>171</v>
      </c>
      <c r="W38">
        <v>12279241</v>
      </c>
      <c r="X38" t="s">
        <v>169</v>
      </c>
      <c r="Y38">
        <f t="shared" si="0"/>
        <v>6.7337999999999995E-2</v>
      </c>
      <c r="Z38">
        <f t="shared" si="1"/>
        <v>2.4380000000000002</v>
      </c>
      <c r="AA38">
        <f t="shared" si="2"/>
        <v>2.3220000000000001</v>
      </c>
      <c r="AB38" s="2">
        <f t="shared" si="16"/>
        <v>20</v>
      </c>
      <c r="AC38" s="2">
        <f t="shared" si="3"/>
        <v>17</v>
      </c>
      <c r="AD38" s="2">
        <f t="shared" si="4"/>
        <v>0</v>
      </c>
      <c r="AE38" s="2">
        <f t="shared" si="5"/>
        <v>0</v>
      </c>
      <c r="AF38" s="2">
        <f t="shared" si="6"/>
        <v>8</v>
      </c>
      <c r="AG38" s="2">
        <f t="shared" si="7"/>
        <v>0</v>
      </c>
      <c r="AH38" s="2">
        <f t="shared" si="8"/>
        <v>0</v>
      </c>
      <c r="AI38" s="1">
        <f t="shared" si="9"/>
        <v>87.768000000000001</v>
      </c>
      <c r="AJ38" s="1">
        <f t="shared" si="10"/>
        <v>139.32</v>
      </c>
      <c r="AK38" s="1" t="str">
        <f t="shared" si="11"/>
        <v/>
      </c>
      <c r="AL38" s="1" t="str">
        <f t="shared" si="12"/>
        <v/>
      </c>
      <c r="AM38" s="1">
        <f t="shared" si="13"/>
        <v>130</v>
      </c>
      <c r="AN38" s="5">
        <f t="shared" si="14"/>
        <v>0</v>
      </c>
      <c r="AO38" s="1" t="str">
        <f t="shared" si="15"/>
        <v/>
      </c>
    </row>
    <row r="39" spans="1:41">
      <c r="A39" t="s">
        <v>180</v>
      </c>
      <c r="B39" t="s">
        <v>76</v>
      </c>
      <c r="C39" t="s">
        <v>181</v>
      </c>
      <c r="D39">
        <v>1161</v>
      </c>
      <c r="E39">
        <v>58</v>
      </c>
      <c r="F39">
        <v>0</v>
      </c>
      <c r="G39">
        <v>1</v>
      </c>
      <c r="H39">
        <v>1</v>
      </c>
      <c r="I39">
        <v>1</v>
      </c>
      <c r="L39" t="s">
        <v>182</v>
      </c>
      <c r="M39" t="s">
        <v>183</v>
      </c>
      <c r="N39" t="s">
        <v>80</v>
      </c>
      <c r="O39">
        <v>0</v>
      </c>
      <c r="P39" t="s">
        <v>169</v>
      </c>
      <c r="Q39" t="s">
        <v>134</v>
      </c>
      <c r="R39">
        <v>10695</v>
      </c>
      <c r="S39" t="s">
        <v>183</v>
      </c>
      <c r="U39" t="s">
        <v>170</v>
      </c>
      <c r="V39" t="s">
        <v>171</v>
      </c>
      <c r="W39">
        <v>12279238</v>
      </c>
      <c r="X39" t="s">
        <v>169</v>
      </c>
      <c r="Y39">
        <f t="shared" si="0"/>
        <v>6.7337999999999995E-2</v>
      </c>
      <c r="Z39">
        <f t="shared" si="1"/>
        <v>2.4380000000000002</v>
      </c>
      <c r="AA39">
        <f t="shared" si="2"/>
        <v>2.3220000000000001</v>
      </c>
      <c r="AB39" s="2">
        <f t="shared" si="16"/>
        <v>23</v>
      </c>
      <c r="AC39" s="2">
        <f t="shared" si="3"/>
        <v>20</v>
      </c>
      <c r="AD39" s="2">
        <f t="shared" si="4"/>
        <v>0</v>
      </c>
      <c r="AE39" s="2">
        <f t="shared" si="5"/>
        <v>0</v>
      </c>
      <c r="AF39" s="2">
        <f t="shared" si="6"/>
        <v>11</v>
      </c>
      <c r="AG39" s="2">
        <f t="shared" si="7"/>
        <v>0</v>
      </c>
      <c r="AH39" s="2">
        <f t="shared" si="8"/>
        <v>0</v>
      </c>
      <c r="AI39" s="1">
        <f t="shared" si="9"/>
        <v>87.768000000000001</v>
      </c>
      <c r="AJ39" s="1">
        <f t="shared" si="10"/>
        <v>139.32</v>
      </c>
      <c r="AK39" s="1" t="str">
        <f t="shared" si="11"/>
        <v/>
      </c>
      <c r="AL39" s="1" t="str">
        <f t="shared" si="12"/>
        <v/>
      </c>
      <c r="AM39" s="1">
        <f t="shared" si="13"/>
        <v>130</v>
      </c>
      <c r="AN39" s="5">
        <f t="shared" si="14"/>
        <v>0</v>
      </c>
      <c r="AO39" s="1" t="str">
        <f t="shared" si="15"/>
        <v/>
      </c>
    </row>
    <row r="40" spans="1:41">
      <c r="A40" t="s">
        <v>184</v>
      </c>
      <c r="B40" t="s">
        <v>76</v>
      </c>
      <c r="C40" t="s">
        <v>185</v>
      </c>
      <c r="D40">
        <v>755</v>
      </c>
      <c r="E40">
        <v>394</v>
      </c>
      <c r="F40">
        <v>0</v>
      </c>
      <c r="G40">
        <v>1</v>
      </c>
      <c r="H40">
        <v>1</v>
      </c>
      <c r="I40">
        <v>1</v>
      </c>
      <c r="J40">
        <v>1</v>
      </c>
      <c r="K40">
        <v>1</v>
      </c>
      <c r="L40" t="s">
        <v>186</v>
      </c>
      <c r="M40" t="s">
        <v>187</v>
      </c>
      <c r="N40" t="s">
        <v>80</v>
      </c>
      <c r="O40">
        <v>0</v>
      </c>
      <c r="P40" t="s">
        <v>169</v>
      </c>
      <c r="Q40" t="s">
        <v>134</v>
      </c>
      <c r="R40">
        <v>10695</v>
      </c>
      <c r="S40" t="s">
        <v>187</v>
      </c>
      <c r="U40" t="s">
        <v>170</v>
      </c>
      <c r="V40" t="s">
        <v>171</v>
      </c>
      <c r="W40">
        <v>12279231</v>
      </c>
      <c r="X40" t="s">
        <v>169</v>
      </c>
      <c r="Y40">
        <f t="shared" si="0"/>
        <v>0.29747000000000001</v>
      </c>
      <c r="Z40">
        <f t="shared" si="1"/>
        <v>2.298</v>
      </c>
      <c r="AA40">
        <f t="shared" si="2"/>
        <v>2.298</v>
      </c>
      <c r="AB40" s="2">
        <f t="shared" si="16"/>
        <v>17</v>
      </c>
      <c r="AC40" s="2">
        <f t="shared" si="3"/>
        <v>14</v>
      </c>
      <c r="AD40" s="2">
        <f t="shared" si="4"/>
        <v>0</v>
      </c>
      <c r="AE40" s="2">
        <f t="shared" si="5"/>
        <v>0</v>
      </c>
      <c r="AF40" s="2">
        <f t="shared" si="6"/>
        <v>11</v>
      </c>
      <c r="AG40" s="2">
        <f t="shared" si="7"/>
        <v>0</v>
      </c>
      <c r="AH40" s="2">
        <f t="shared" si="8"/>
        <v>0</v>
      </c>
      <c r="AI40" s="1">
        <f t="shared" si="9"/>
        <v>82.728000000000009</v>
      </c>
      <c r="AJ40" s="1">
        <f t="shared" si="10"/>
        <v>137.88</v>
      </c>
      <c r="AK40" s="1" t="str">
        <f t="shared" si="11"/>
        <v/>
      </c>
      <c r="AL40" s="1" t="str">
        <f t="shared" si="12"/>
        <v/>
      </c>
      <c r="AM40" s="1">
        <f t="shared" si="13"/>
        <v>130</v>
      </c>
      <c r="AN40" s="5">
        <f t="shared" si="14"/>
        <v>0</v>
      </c>
      <c r="AO40" s="1" t="str">
        <f t="shared" si="15"/>
        <v/>
      </c>
    </row>
    <row r="41" spans="1:41">
      <c r="A41" t="s">
        <v>188</v>
      </c>
      <c r="B41" t="s">
        <v>76</v>
      </c>
      <c r="C41" t="s">
        <v>189</v>
      </c>
      <c r="D41">
        <v>755</v>
      </c>
      <c r="E41">
        <v>394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 t="s">
        <v>190</v>
      </c>
      <c r="M41" t="s">
        <v>191</v>
      </c>
      <c r="N41" t="s">
        <v>80</v>
      </c>
      <c r="O41">
        <v>0</v>
      </c>
      <c r="P41" t="s">
        <v>169</v>
      </c>
      <c r="Q41" t="s">
        <v>134</v>
      </c>
      <c r="R41">
        <v>10695</v>
      </c>
      <c r="S41" t="s">
        <v>191</v>
      </c>
      <c r="U41" t="s">
        <v>170</v>
      </c>
      <c r="V41" t="s">
        <v>171</v>
      </c>
      <c r="W41">
        <v>12279228</v>
      </c>
      <c r="X41" t="s">
        <v>169</v>
      </c>
      <c r="Y41">
        <f t="shared" si="0"/>
        <v>0.29747000000000001</v>
      </c>
      <c r="Z41">
        <f t="shared" si="1"/>
        <v>2.298</v>
      </c>
      <c r="AA41">
        <f t="shared" si="2"/>
        <v>2.298</v>
      </c>
      <c r="AB41" s="2">
        <f t="shared" si="16"/>
        <v>17</v>
      </c>
      <c r="AC41" s="2">
        <f t="shared" si="3"/>
        <v>14</v>
      </c>
      <c r="AD41" s="2">
        <f t="shared" si="4"/>
        <v>0</v>
      </c>
      <c r="AE41" s="2">
        <f t="shared" si="5"/>
        <v>0</v>
      </c>
      <c r="AF41" s="2">
        <f t="shared" si="6"/>
        <v>11</v>
      </c>
      <c r="AG41" s="2">
        <f t="shared" si="7"/>
        <v>0</v>
      </c>
      <c r="AH41" s="2">
        <f t="shared" si="8"/>
        <v>0</v>
      </c>
      <c r="AI41" s="1">
        <f t="shared" si="9"/>
        <v>82.728000000000009</v>
      </c>
      <c r="AJ41" s="1">
        <f t="shared" si="10"/>
        <v>137.88</v>
      </c>
      <c r="AK41" s="1" t="str">
        <f t="shared" si="11"/>
        <v/>
      </c>
      <c r="AL41" s="1" t="str">
        <f t="shared" si="12"/>
        <v/>
      </c>
      <c r="AM41" s="1">
        <f t="shared" si="13"/>
        <v>130</v>
      </c>
      <c r="AN41" s="5">
        <f t="shared" si="14"/>
        <v>0</v>
      </c>
      <c r="AO41" s="1" t="str">
        <f t="shared" si="15"/>
        <v/>
      </c>
    </row>
    <row r="42" spans="1:41">
      <c r="A42" t="s">
        <v>192</v>
      </c>
      <c r="B42" t="s">
        <v>76</v>
      </c>
      <c r="C42" t="s">
        <v>193</v>
      </c>
      <c r="D42">
        <v>798</v>
      </c>
      <c r="E42">
        <v>328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 t="s">
        <v>194</v>
      </c>
      <c r="M42" t="s">
        <v>195</v>
      </c>
      <c r="N42" t="s">
        <v>80</v>
      </c>
      <c r="O42">
        <v>0</v>
      </c>
      <c r="P42" t="s">
        <v>169</v>
      </c>
      <c r="Q42" t="s">
        <v>134</v>
      </c>
      <c r="R42">
        <v>10695</v>
      </c>
      <c r="S42" t="s">
        <v>195</v>
      </c>
      <c r="U42" t="s">
        <v>170</v>
      </c>
      <c r="V42" t="s">
        <v>171</v>
      </c>
      <c r="W42">
        <v>12279225</v>
      </c>
      <c r="X42" t="s">
        <v>169</v>
      </c>
      <c r="Y42">
        <f t="shared" si="0"/>
        <v>0.26174399999999998</v>
      </c>
      <c r="Z42">
        <f t="shared" si="1"/>
        <v>2.2519999999999998</v>
      </c>
      <c r="AA42">
        <f t="shared" si="2"/>
        <v>2.2519999999999998</v>
      </c>
      <c r="AB42" s="2">
        <f t="shared" si="16"/>
        <v>14</v>
      </c>
      <c r="AC42" s="2">
        <f t="shared" si="3"/>
        <v>11</v>
      </c>
      <c r="AD42" s="2">
        <f t="shared" si="4"/>
        <v>0</v>
      </c>
      <c r="AE42" s="2">
        <f t="shared" si="5"/>
        <v>0</v>
      </c>
      <c r="AF42" s="2">
        <f t="shared" si="6"/>
        <v>8</v>
      </c>
      <c r="AG42" s="2">
        <f t="shared" si="7"/>
        <v>0</v>
      </c>
      <c r="AH42" s="2">
        <f t="shared" si="8"/>
        <v>0</v>
      </c>
      <c r="AI42" s="1">
        <f t="shared" si="9"/>
        <v>81.071999999999989</v>
      </c>
      <c r="AJ42" s="1">
        <f t="shared" si="10"/>
        <v>135.11999999999998</v>
      </c>
      <c r="AK42" s="1" t="str">
        <f t="shared" si="11"/>
        <v/>
      </c>
      <c r="AL42" s="1" t="str">
        <f t="shared" si="12"/>
        <v/>
      </c>
      <c r="AM42" s="1">
        <f t="shared" si="13"/>
        <v>130</v>
      </c>
      <c r="AN42" s="5">
        <f t="shared" si="14"/>
        <v>0</v>
      </c>
      <c r="AO42" s="1" t="str">
        <f t="shared" si="15"/>
        <v/>
      </c>
    </row>
    <row r="43" spans="1:41">
      <c r="A43" t="s">
        <v>196</v>
      </c>
      <c r="B43" t="s">
        <v>76</v>
      </c>
      <c r="C43" t="s">
        <v>197</v>
      </c>
      <c r="D43">
        <v>1900</v>
      </c>
      <c r="E43">
        <v>328</v>
      </c>
      <c r="F43">
        <v>0</v>
      </c>
      <c r="G43">
        <v>1</v>
      </c>
      <c r="H43">
        <v>1</v>
      </c>
      <c r="I43">
        <v>1</v>
      </c>
      <c r="L43" t="s">
        <v>198</v>
      </c>
      <c r="M43" t="s">
        <v>199</v>
      </c>
      <c r="N43" t="s">
        <v>80</v>
      </c>
      <c r="O43">
        <v>0</v>
      </c>
      <c r="P43" t="s">
        <v>169</v>
      </c>
      <c r="Q43" t="s">
        <v>134</v>
      </c>
      <c r="R43">
        <v>10695</v>
      </c>
      <c r="S43" t="s">
        <v>199</v>
      </c>
      <c r="U43" t="s">
        <v>170</v>
      </c>
      <c r="V43" t="s">
        <v>171</v>
      </c>
      <c r="W43">
        <v>12279222</v>
      </c>
      <c r="X43" t="s">
        <v>169</v>
      </c>
      <c r="Y43">
        <f t="shared" si="0"/>
        <v>0.62319999999999998</v>
      </c>
      <c r="Z43">
        <f t="shared" si="1"/>
        <v>4.4560000000000004</v>
      </c>
      <c r="AA43">
        <f t="shared" si="2"/>
        <v>3.8</v>
      </c>
      <c r="AB43" s="2">
        <f t="shared" si="16"/>
        <v>14</v>
      </c>
      <c r="AC43" s="2">
        <f t="shared" si="3"/>
        <v>11</v>
      </c>
      <c r="AD43" s="2">
        <f t="shared" si="4"/>
        <v>0</v>
      </c>
      <c r="AE43" s="2">
        <f t="shared" si="5"/>
        <v>0</v>
      </c>
      <c r="AF43" s="2">
        <f t="shared" si="6"/>
        <v>8</v>
      </c>
      <c r="AG43" s="2">
        <f t="shared" si="7"/>
        <v>0</v>
      </c>
      <c r="AH43" s="2">
        <f t="shared" si="8"/>
        <v>0</v>
      </c>
      <c r="AI43" s="1">
        <f t="shared" si="9"/>
        <v>160.41600000000003</v>
      </c>
      <c r="AJ43" s="1">
        <f t="shared" si="10"/>
        <v>228</v>
      </c>
      <c r="AK43" s="1" t="str">
        <f t="shared" si="11"/>
        <v/>
      </c>
      <c r="AL43" s="1" t="str">
        <f t="shared" si="12"/>
        <v/>
      </c>
      <c r="AM43" s="1">
        <f t="shared" si="13"/>
        <v>130</v>
      </c>
      <c r="AN43" s="5">
        <f t="shared" si="14"/>
        <v>0</v>
      </c>
      <c r="AO43" s="1" t="str">
        <f t="shared" si="15"/>
        <v/>
      </c>
    </row>
    <row r="44" spans="1:41">
      <c r="A44" t="s">
        <v>200</v>
      </c>
      <c r="B44" t="s">
        <v>76</v>
      </c>
      <c r="C44" t="s">
        <v>201</v>
      </c>
      <c r="D44">
        <v>1900</v>
      </c>
      <c r="E44">
        <v>328</v>
      </c>
      <c r="F44">
        <v>0</v>
      </c>
      <c r="G44">
        <v>1</v>
      </c>
      <c r="H44">
        <v>1</v>
      </c>
      <c r="I44">
        <v>1</v>
      </c>
      <c r="L44" t="s">
        <v>202</v>
      </c>
      <c r="M44" t="s">
        <v>203</v>
      </c>
      <c r="N44" t="s">
        <v>80</v>
      </c>
      <c r="O44">
        <v>0</v>
      </c>
      <c r="P44" t="s">
        <v>169</v>
      </c>
      <c r="Q44" t="s">
        <v>134</v>
      </c>
      <c r="R44">
        <v>10695</v>
      </c>
      <c r="S44" t="s">
        <v>203</v>
      </c>
      <c r="U44" t="s">
        <v>170</v>
      </c>
      <c r="V44" t="s">
        <v>171</v>
      </c>
      <c r="W44">
        <v>12279219</v>
      </c>
      <c r="X44" t="s">
        <v>169</v>
      </c>
      <c r="Y44">
        <f t="shared" si="0"/>
        <v>0.62319999999999998</v>
      </c>
      <c r="Z44">
        <f t="shared" si="1"/>
        <v>4.4560000000000004</v>
      </c>
      <c r="AA44">
        <f t="shared" si="2"/>
        <v>3.8</v>
      </c>
      <c r="AB44" s="2">
        <f t="shared" si="16"/>
        <v>14</v>
      </c>
      <c r="AC44" s="2">
        <f t="shared" si="3"/>
        <v>11</v>
      </c>
      <c r="AD44" s="2">
        <f t="shared" si="4"/>
        <v>0</v>
      </c>
      <c r="AE44" s="2">
        <f t="shared" si="5"/>
        <v>0</v>
      </c>
      <c r="AF44" s="2">
        <f t="shared" si="6"/>
        <v>8</v>
      </c>
      <c r="AG44" s="2">
        <f t="shared" si="7"/>
        <v>0</v>
      </c>
      <c r="AH44" s="2">
        <f t="shared" si="8"/>
        <v>0</v>
      </c>
      <c r="AI44" s="1">
        <f t="shared" si="9"/>
        <v>160.41600000000003</v>
      </c>
      <c r="AJ44" s="1">
        <f t="shared" si="10"/>
        <v>228</v>
      </c>
      <c r="AK44" s="1" t="str">
        <f t="shared" si="11"/>
        <v/>
      </c>
      <c r="AL44" s="1" t="str">
        <f t="shared" si="12"/>
        <v/>
      </c>
      <c r="AM44" s="1">
        <f t="shared" si="13"/>
        <v>130</v>
      </c>
      <c r="AN44" s="5">
        <f t="shared" si="14"/>
        <v>0</v>
      </c>
      <c r="AO44" s="1" t="str">
        <f t="shared" si="15"/>
        <v/>
      </c>
    </row>
    <row r="45" spans="1:41">
      <c r="A45" t="s">
        <v>204</v>
      </c>
      <c r="B45" t="s">
        <v>76</v>
      </c>
      <c r="C45" t="s">
        <v>205</v>
      </c>
      <c r="D45">
        <v>798</v>
      </c>
      <c r="E45">
        <v>348</v>
      </c>
      <c r="F45">
        <v>0</v>
      </c>
      <c r="G45">
        <v>1</v>
      </c>
      <c r="H45">
        <v>1</v>
      </c>
      <c r="I45">
        <v>1</v>
      </c>
      <c r="J45">
        <v>1</v>
      </c>
      <c r="K45">
        <v>1</v>
      </c>
      <c r="L45" t="s">
        <v>206</v>
      </c>
      <c r="M45" t="s">
        <v>207</v>
      </c>
      <c r="N45" t="s">
        <v>80</v>
      </c>
      <c r="O45">
        <v>0</v>
      </c>
      <c r="P45" t="s">
        <v>169</v>
      </c>
      <c r="Q45" t="s">
        <v>134</v>
      </c>
      <c r="R45">
        <v>10695</v>
      </c>
      <c r="S45" t="s">
        <v>207</v>
      </c>
      <c r="U45" t="s">
        <v>170</v>
      </c>
      <c r="V45" t="s">
        <v>171</v>
      </c>
      <c r="W45">
        <v>12279253</v>
      </c>
      <c r="X45" t="s">
        <v>169</v>
      </c>
      <c r="Y45">
        <f t="shared" si="0"/>
        <v>0.27770400000000001</v>
      </c>
      <c r="Z45">
        <f t="shared" si="1"/>
        <v>2.2919999999999998</v>
      </c>
      <c r="AA45">
        <f t="shared" si="2"/>
        <v>2.2919999999999998</v>
      </c>
      <c r="AB45" s="2">
        <f t="shared" si="16"/>
        <v>14</v>
      </c>
      <c r="AC45" s="2">
        <f t="shared" si="3"/>
        <v>11</v>
      </c>
      <c r="AD45" s="2">
        <f t="shared" si="4"/>
        <v>0</v>
      </c>
      <c r="AE45" s="2">
        <f t="shared" si="5"/>
        <v>0</v>
      </c>
      <c r="AF45" s="2">
        <f t="shared" si="6"/>
        <v>8</v>
      </c>
      <c r="AG45" s="2">
        <f t="shared" si="7"/>
        <v>0</v>
      </c>
      <c r="AH45" s="2">
        <f t="shared" si="8"/>
        <v>0</v>
      </c>
      <c r="AI45" s="1">
        <f t="shared" si="9"/>
        <v>82.512</v>
      </c>
      <c r="AJ45" s="1">
        <f t="shared" si="10"/>
        <v>137.51999999999998</v>
      </c>
      <c r="AK45" s="1" t="str">
        <f t="shared" si="11"/>
        <v/>
      </c>
      <c r="AL45" s="1" t="str">
        <f t="shared" si="12"/>
        <v/>
      </c>
      <c r="AM45" s="1">
        <f t="shared" si="13"/>
        <v>130</v>
      </c>
      <c r="AN45" s="5">
        <f t="shared" si="14"/>
        <v>0</v>
      </c>
      <c r="AO45" s="1" t="str">
        <f t="shared" si="15"/>
        <v/>
      </c>
    </row>
    <row r="46" spans="1:41">
      <c r="A46" t="s">
        <v>208</v>
      </c>
      <c r="B46" t="s">
        <v>76</v>
      </c>
      <c r="C46" t="s">
        <v>209</v>
      </c>
      <c r="D46">
        <v>764</v>
      </c>
      <c r="E46">
        <v>311</v>
      </c>
      <c r="F46">
        <v>0</v>
      </c>
      <c r="G46">
        <v>2</v>
      </c>
      <c r="H46">
        <v>1</v>
      </c>
      <c r="L46" t="s">
        <v>210</v>
      </c>
      <c r="M46" t="s">
        <v>211</v>
      </c>
      <c r="N46" t="s">
        <v>80</v>
      </c>
      <c r="O46">
        <v>0</v>
      </c>
      <c r="P46" t="s">
        <v>169</v>
      </c>
      <c r="Q46" t="s">
        <v>134</v>
      </c>
      <c r="R46">
        <v>10695</v>
      </c>
      <c r="S46" t="s">
        <v>211</v>
      </c>
      <c r="U46" t="s">
        <v>170</v>
      </c>
      <c r="V46" t="s">
        <v>171</v>
      </c>
      <c r="W46">
        <v>12279216</v>
      </c>
      <c r="X46" t="s">
        <v>169</v>
      </c>
      <c r="Y46">
        <f t="shared" si="0"/>
        <v>0.47520800000000002</v>
      </c>
      <c r="Z46">
        <f t="shared" si="1"/>
        <v>4.3</v>
      </c>
      <c r="AA46">
        <f t="shared" si="2"/>
        <v>1.528</v>
      </c>
      <c r="AB46" s="2">
        <f t="shared" si="16"/>
        <v>11</v>
      </c>
      <c r="AC46" s="2">
        <f t="shared" si="3"/>
        <v>8</v>
      </c>
      <c r="AD46" s="2">
        <f t="shared" si="4"/>
        <v>0</v>
      </c>
      <c r="AE46" s="2">
        <f t="shared" si="5"/>
        <v>0</v>
      </c>
      <c r="AF46" s="2">
        <f t="shared" si="6"/>
        <v>0</v>
      </c>
      <c r="AG46" s="2">
        <f t="shared" si="7"/>
        <v>0</v>
      </c>
      <c r="AH46" s="2">
        <f t="shared" si="8"/>
        <v>0</v>
      </c>
      <c r="AI46" s="1">
        <f t="shared" si="9"/>
        <v>154.79999999999998</v>
      </c>
      <c r="AJ46" s="1">
        <f t="shared" si="10"/>
        <v>91.68</v>
      </c>
      <c r="AK46" s="1" t="str">
        <f t="shared" si="11"/>
        <v/>
      </c>
      <c r="AL46" s="1" t="str">
        <f t="shared" si="12"/>
        <v/>
      </c>
      <c r="AM46" s="1" t="str">
        <f t="shared" si="13"/>
        <v/>
      </c>
      <c r="AN46" s="5">
        <f t="shared" si="14"/>
        <v>0</v>
      </c>
      <c r="AO46" s="1" t="str">
        <f t="shared" si="15"/>
        <v/>
      </c>
    </row>
    <row r="47" spans="1:41">
      <c r="A47" t="s">
        <v>212</v>
      </c>
      <c r="B47" t="s">
        <v>76</v>
      </c>
      <c r="C47" t="s">
        <v>213</v>
      </c>
      <c r="D47">
        <v>764</v>
      </c>
      <c r="E47">
        <v>311</v>
      </c>
      <c r="F47">
        <v>0</v>
      </c>
      <c r="G47">
        <v>2</v>
      </c>
      <c r="H47">
        <v>1</v>
      </c>
      <c r="L47" t="s">
        <v>214</v>
      </c>
      <c r="M47" t="s">
        <v>215</v>
      </c>
      <c r="N47" t="s">
        <v>80</v>
      </c>
      <c r="O47">
        <v>0</v>
      </c>
      <c r="P47" t="s">
        <v>169</v>
      </c>
      <c r="Q47" t="s">
        <v>134</v>
      </c>
      <c r="R47">
        <v>10695</v>
      </c>
      <c r="S47" t="s">
        <v>215</v>
      </c>
      <c r="U47" t="s">
        <v>170</v>
      </c>
      <c r="V47" t="s">
        <v>171</v>
      </c>
      <c r="W47">
        <v>12279213</v>
      </c>
      <c r="X47" t="s">
        <v>169</v>
      </c>
      <c r="Y47">
        <f t="shared" si="0"/>
        <v>0.47520800000000002</v>
      </c>
      <c r="Z47">
        <f t="shared" si="1"/>
        <v>4.3</v>
      </c>
      <c r="AA47">
        <f t="shared" si="2"/>
        <v>1.528</v>
      </c>
      <c r="AB47" s="2">
        <f t="shared" si="16"/>
        <v>14</v>
      </c>
      <c r="AC47" s="2">
        <f t="shared" si="3"/>
        <v>11</v>
      </c>
      <c r="AD47" s="2">
        <f t="shared" si="4"/>
        <v>0</v>
      </c>
      <c r="AE47" s="2">
        <f t="shared" si="5"/>
        <v>0</v>
      </c>
      <c r="AF47" s="2">
        <f t="shared" si="6"/>
        <v>8</v>
      </c>
      <c r="AG47" s="2">
        <f t="shared" si="7"/>
        <v>0</v>
      </c>
      <c r="AH47" s="2">
        <f t="shared" si="8"/>
        <v>0</v>
      </c>
      <c r="AI47" s="1">
        <f t="shared" si="9"/>
        <v>154.79999999999998</v>
      </c>
      <c r="AJ47" s="1">
        <f t="shared" si="10"/>
        <v>91.68</v>
      </c>
      <c r="AK47" s="1" t="str">
        <f t="shared" si="11"/>
        <v/>
      </c>
      <c r="AL47" s="1" t="str">
        <f t="shared" si="12"/>
        <v/>
      </c>
      <c r="AM47" s="1">
        <f t="shared" si="13"/>
        <v>260</v>
      </c>
      <c r="AN47" s="5">
        <f t="shared" si="14"/>
        <v>0</v>
      </c>
      <c r="AO47" s="1" t="str">
        <f t="shared" si="15"/>
        <v/>
      </c>
    </row>
    <row r="48" spans="1:41">
      <c r="A48" t="s">
        <v>216</v>
      </c>
      <c r="B48" t="s">
        <v>76</v>
      </c>
      <c r="C48" t="s">
        <v>217</v>
      </c>
      <c r="D48">
        <v>492</v>
      </c>
      <c r="E48">
        <v>766</v>
      </c>
      <c r="F48">
        <v>0</v>
      </c>
      <c r="G48">
        <v>1</v>
      </c>
      <c r="L48" t="s">
        <v>218</v>
      </c>
      <c r="M48" t="s">
        <v>219</v>
      </c>
      <c r="N48" t="s">
        <v>220</v>
      </c>
      <c r="O48">
        <v>0</v>
      </c>
      <c r="P48" t="s">
        <v>104</v>
      </c>
      <c r="Q48" t="s">
        <v>82</v>
      </c>
      <c r="R48">
        <v>10641</v>
      </c>
      <c r="S48" t="s">
        <v>219</v>
      </c>
      <c r="U48" t="s">
        <v>105</v>
      </c>
      <c r="V48" t="s">
        <v>106</v>
      </c>
      <c r="W48">
        <v>12279269</v>
      </c>
      <c r="X48" t="s">
        <v>104</v>
      </c>
      <c r="Y48">
        <f t="shared" si="0"/>
        <v>0.37687199999999998</v>
      </c>
      <c r="Z48">
        <f t="shared" si="1"/>
        <v>2.516</v>
      </c>
      <c r="AA48">
        <f t="shared" si="2"/>
        <v>0</v>
      </c>
      <c r="AB48" s="2">
        <f t="shared" si="16"/>
        <v>12</v>
      </c>
      <c r="AC48" s="2">
        <f t="shared" si="3"/>
        <v>0</v>
      </c>
      <c r="AD48" s="2">
        <f t="shared" si="4"/>
        <v>0</v>
      </c>
      <c r="AE48" s="2">
        <f t="shared" si="5"/>
        <v>0</v>
      </c>
      <c r="AF48" s="2">
        <f t="shared" si="6"/>
        <v>9</v>
      </c>
      <c r="AG48" s="2">
        <f t="shared" si="7"/>
        <v>0</v>
      </c>
      <c r="AH48" s="2">
        <f t="shared" si="8"/>
        <v>0</v>
      </c>
      <c r="AI48" s="1">
        <f t="shared" si="9"/>
        <v>90.575999999999993</v>
      </c>
      <c r="AJ48" s="1">
        <f t="shared" si="10"/>
        <v>0</v>
      </c>
      <c r="AK48" s="1" t="str">
        <f t="shared" si="11"/>
        <v/>
      </c>
      <c r="AL48" s="1" t="str">
        <f t="shared" si="12"/>
        <v/>
      </c>
      <c r="AM48" s="1">
        <f t="shared" si="13"/>
        <v>130</v>
      </c>
      <c r="AN48" s="5">
        <f t="shared" si="14"/>
        <v>0</v>
      </c>
      <c r="AO48" s="1" t="str">
        <f t="shared" si="15"/>
        <v/>
      </c>
    </row>
    <row r="49" spans="1:41">
      <c r="A49" t="s">
        <v>221</v>
      </c>
      <c r="B49" t="s">
        <v>76</v>
      </c>
      <c r="C49" t="s">
        <v>222</v>
      </c>
      <c r="D49">
        <v>700</v>
      </c>
      <c r="E49">
        <v>426</v>
      </c>
      <c r="F49">
        <v>0</v>
      </c>
      <c r="G49">
        <v>2</v>
      </c>
      <c r="L49" t="s">
        <v>223</v>
      </c>
      <c r="M49" t="s">
        <v>224</v>
      </c>
      <c r="N49" t="s">
        <v>220</v>
      </c>
      <c r="O49">
        <v>0</v>
      </c>
      <c r="P49" t="s">
        <v>133</v>
      </c>
      <c r="Q49" t="s">
        <v>134</v>
      </c>
      <c r="R49">
        <v>10695</v>
      </c>
      <c r="S49" t="s">
        <v>224</v>
      </c>
      <c r="U49" t="s">
        <v>135</v>
      </c>
      <c r="V49" t="s">
        <v>136</v>
      </c>
      <c r="W49">
        <v>12278912</v>
      </c>
      <c r="X49" t="s">
        <v>137</v>
      </c>
      <c r="Y49">
        <f t="shared" si="0"/>
        <v>0.59640000000000004</v>
      </c>
      <c r="Z49">
        <f t="shared" si="1"/>
        <v>4.5039999999999996</v>
      </c>
      <c r="AA49">
        <f t="shared" si="2"/>
        <v>0</v>
      </c>
      <c r="AB49" s="2">
        <f t="shared" si="16"/>
        <v>13</v>
      </c>
      <c r="AC49" s="2">
        <f t="shared" si="3"/>
        <v>0</v>
      </c>
      <c r="AD49" s="2">
        <f t="shared" si="4"/>
        <v>0</v>
      </c>
      <c r="AE49" s="2">
        <f t="shared" si="5"/>
        <v>0</v>
      </c>
      <c r="AF49" s="2">
        <f t="shared" si="6"/>
        <v>10</v>
      </c>
      <c r="AG49" s="2">
        <f t="shared" si="7"/>
        <v>0</v>
      </c>
      <c r="AH49" s="2">
        <f t="shared" si="8"/>
        <v>0</v>
      </c>
      <c r="AI49" s="1">
        <f t="shared" si="9"/>
        <v>162.14399999999998</v>
      </c>
      <c r="AJ49" s="1">
        <f t="shared" si="10"/>
        <v>0</v>
      </c>
      <c r="AK49" s="1" t="str">
        <f t="shared" si="11"/>
        <v/>
      </c>
      <c r="AL49" s="1" t="str">
        <f t="shared" si="12"/>
        <v/>
      </c>
      <c r="AM49" s="1">
        <f t="shared" si="13"/>
        <v>260</v>
      </c>
      <c r="AN49" s="5">
        <f t="shared" si="14"/>
        <v>0</v>
      </c>
      <c r="AO49" s="1" t="str">
        <f t="shared" si="15"/>
        <v/>
      </c>
    </row>
    <row r="50" spans="1:41">
      <c r="A50" t="s">
        <v>225</v>
      </c>
      <c r="B50" t="s">
        <v>76</v>
      </c>
      <c r="C50" t="s">
        <v>226</v>
      </c>
      <c r="D50">
        <v>1900</v>
      </c>
      <c r="E50">
        <v>764</v>
      </c>
      <c r="F50">
        <v>0</v>
      </c>
      <c r="G50">
        <v>1</v>
      </c>
      <c r="L50" t="s">
        <v>227</v>
      </c>
      <c r="M50" t="s">
        <v>228</v>
      </c>
      <c r="N50" t="s">
        <v>220</v>
      </c>
      <c r="O50">
        <v>0</v>
      </c>
      <c r="P50" t="s">
        <v>169</v>
      </c>
      <c r="Q50" t="s">
        <v>134</v>
      </c>
      <c r="R50">
        <v>10695</v>
      </c>
      <c r="S50" t="s">
        <v>228</v>
      </c>
      <c r="U50" t="s">
        <v>170</v>
      </c>
      <c r="V50" t="s">
        <v>171</v>
      </c>
      <c r="W50">
        <v>12279256</v>
      </c>
      <c r="X50" t="s">
        <v>169</v>
      </c>
      <c r="Y50">
        <f t="shared" si="0"/>
        <v>1.4516</v>
      </c>
      <c r="Z50">
        <f t="shared" si="1"/>
        <v>5.3280000000000003</v>
      </c>
      <c r="AA50">
        <f t="shared" si="2"/>
        <v>0</v>
      </c>
      <c r="AB50" s="2">
        <f t="shared" si="16"/>
        <v>11</v>
      </c>
      <c r="AC50" s="2">
        <f t="shared" si="3"/>
        <v>0</v>
      </c>
      <c r="AD50" s="2">
        <f t="shared" si="4"/>
        <v>0</v>
      </c>
      <c r="AE50" s="2">
        <f t="shared" si="5"/>
        <v>0</v>
      </c>
      <c r="AF50" s="2">
        <f t="shared" si="6"/>
        <v>8</v>
      </c>
      <c r="AG50" s="2">
        <f t="shared" si="7"/>
        <v>0</v>
      </c>
      <c r="AH50" s="2">
        <f t="shared" si="8"/>
        <v>0</v>
      </c>
      <c r="AI50" s="1">
        <f t="shared" si="9"/>
        <v>191.80800000000002</v>
      </c>
      <c r="AJ50" s="1">
        <f t="shared" si="10"/>
        <v>0</v>
      </c>
      <c r="AK50" s="1" t="str">
        <f t="shared" si="11"/>
        <v/>
      </c>
      <c r="AL50" s="1" t="str">
        <f t="shared" si="12"/>
        <v/>
      </c>
      <c r="AM50" s="1">
        <f t="shared" si="13"/>
        <v>130</v>
      </c>
      <c r="AN50" s="5">
        <f t="shared" si="14"/>
        <v>0</v>
      </c>
      <c r="AO50" s="1" t="str">
        <f t="shared" si="15"/>
        <v/>
      </c>
    </row>
    <row r="51" spans="1:41">
      <c r="A51" t="s">
        <v>229</v>
      </c>
      <c r="B51" t="s">
        <v>76</v>
      </c>
      <c r="C51" t="s">
        <v>230</v>
      </c>
      <c r="D51">
        <v>1384</v>
      </c>
      <c r="E51">
        <v>199</v>
      </c>
      <c r="F51">
        <v>0</v>
      </c>
      <c r="G51">
        <v>2</v>
      </c>
      <c r="H51">
        <v>1</v>
      </c>
      <c r="L51" t="s">
        <v>231</v>
      </c>
      <c r="M51" t="s">
        <v>232</v>
      </c>
      <c r="N51" t="s">
        <v>220</v>
      </c>
      <c r="O51">
        <v>0</v>
      </c>
      <c r="P51" t="s">
        <v>233</v>
      </c>
      <c r="Q51" t="s">
        <v>82</v>
      </c>
      <c r="R51">
        <v>10641</v>
      </c>
      <c r="S51" t="s">
        <v>232</v>
      </c>
      <c r="U51" t="s">
        <v>83</v>
      </c>
      <c r="V51" t="s">
        <v>234</v>
      </c>
      <c r="W51">
        <v>12279074</v>
      </c>
      <c r="X51" t="s">
        <v>235</v>
      </c>
      <c r="Y51">
        <f t="shared" si="0"/>
        <v>0.55083199999999999</v>
      </c>
      <c r="Z51">
        <f t="shared" si="1"/>
        <v>6.3319999999999999</v>
      </c>
      <c r="AA51">
        <f t="shared" si="2"/>
        <v>2.7679999999999998</v>
      </c>
      <c r="AB51" s="2">
        <f t="shared" si="16"/>
        <v>43</v>
      </c>
      <c r="AC51" s="2">
        <f t="shared" si="3"/>
        <v>29</v>
      </c>
      <c r="AD51" s="2">
        <f t="shared" si="4"/>
        <v>0</v>
      </c>
      <c r="AE51" s="2">
        <f t="shared" si="5"/>
        <v>0</v>
      </c>
      <c r="AF51" s="2">
        <f t="shared" si="6"/>
        <v>22</v>
      </c>
      <c r="AG51" s="2">
        <f t="shared" si="7"/>
        <v>0</v>
      </c>
      <c r="AH51" s="2">
        <f t="shared" si="8"/>
        <v>0</v>
      </c>
      <c r="AI51" s="1">
        <f t="shared" si="9"/>
        <v>227.952</v>
      </c>
      <c r="AJ51" s="1">
        <f t="shared" si="10"/>
        <v>166.07999999999998</v>
      </c>
      <c r="AK51" s="1" t="str">
        <f t="shared" si="11"/>
        <v/>
      </c>
      <c r="AL51" s="1" t="str">
        <f t="shared" si="12"/>
        <v/>
      </c>
      <c r="AM51" s="1">
        <f t="shared" si="13"/>
        <v>260</v>
      </c>
      <c r="AN51" s="5">
        <f t="shared" si="14"/>
        <v>0</v>
      </c>
      <c r="AO51" s="1" t="str">
        <f t="shared" si="15"/>
        <v/>
      </c>
    </row>
    <row r="52" spans="1:41">
      <c r="A52" t="s">
        <v>236</v>
      </c>
      <c r="B52" t="s">
        <v>76</v>
      </c>
      <c r="C52" t="s">
        <v>237</v>
      </c>
      <c r="D52">
        <v>1298</v>
      </c>
      <c r="E52">
        <v>798</v>
      </c>
      <c r="F52">
        <v>0</v>
      </c>
      <c r="G52">
        <v>2</v>
      </c>
      <c r="H52">
        <v>1</v>
      </c>
      <c r="I52">
        <v>1</v>
      </c>
      <c r="J52">
        <v>1</v>
      </c>
      <c r="K52">
        <v>1</v>
      </c>
      <c r="L52" t="s">
        <v>238</v>
      </c>
      <c r="M52" t="s">
        <v>239</v>
      </c>
      <c r="N52" t="s">
        <v>220</v>
      </c>
      <c r="O52">
        <v>0</v>
      </c>
      <c r="P52" t="s">
        <v>233</v>
      </c>
      <c r="Q52" t="s">
        <v>82</v>
      </c>
      <c r="R52">
        <v>10641</v>
      </c>
      <c r="S52" t="s">
        <v>239</v>
      </c>
      <c r="U52" t="s">
        <v>83</v>
      </c>
      <c r="V52" t="s">
        <v>234</v>
      </c>
      <c r="W52">
        <v>12279096</v>
      </c>
      <c r="X52" t="s">
        <v>240</v>
      </c>
      <c r="Y52">
        <f t="shared" si="0"/>
        <v>2.0716079999999999</v>
      </c>
      <c r="Z52">
        <f t="shared" si="1"/>
        <v>8.3840000000000003</v>
      </c>
      <c r="AA52">
        <f t="shared" si="2"/>
        <v>8.3840000000000003</v>
      </c>
      <c r="AB52" s="2">
        <f t="shared" si="16"/>
        <v>28</v>
      </c>
      <c r="AC52" s="2">
        <f t="shared" si="3"/>
        <v>21</v>
      </c>
      <c r="AD52" s="2">
        <f t="shared" si="4"/>
        <v>0</v>
      </c>
      <c r="AE52" s="2">
        <f t="shared" si="5"/>
        <v>0</v>
      </c>
      <c r="AF52" s="2">
        <f t="shared" si="6"/>
        <v>0</v>
      </c>
      <c r="AG52" s="2">
        <f t="shared" si="7"/>
        <v>0</v>
      </c>
      <c r="AH52" s="2">
        <f t="shared" si="8"/>
        <v>0</v>
      </c>
      <c r="AI52" s="1">
        <f t="shared" si="9"/>
        <v>301.82400000000001</v>
      </c>
      <c r="AJ52" s="1">
        <f t="shared" si="10"/>
        <v>503.04</v>
      </c>
      <c r="AK52" s="1" t="str">
        <f t="shared" si="11"/>
        <v/>
      </c>
      <c r="AL52" s="1" t="str">
        <f t="shared" si="12"/>
        <v/>
      </c>
      <c r="AM52" s="1" t="str">
        <f t="shared" si="13"/>
        <v/>
      </c>
      <c r="AN52" s="5">
        <f t="shared" si="14"/>
        <v>0</v>
      </c>
      <c r="AO52" s="1" t="str">
        <f t="shared" si="15"/>
        <v/>
      </c>
    </row>
    <row r="53" spans="1:41">
      <c r="A53" t="s">
        <v>241</v>
      </c>
      <c r="B53" t="s">
        <v>76</v>
      </c>
      <c r="C53" t="s">
        <v>242</v>
      </c>
      <c r="D53">
        <v>1398</v>
      </c>
      <c r="E53">
        <v>498</v>
      </c>
      <c r="F53">
        <v>0</v>
      </c>
      <c r="G53">
        <v>2</v>
      </c>
      <c r="H53">
        <v>1</v>
      </c>
      <c r="I53">
        <v>1</v>
      </c>
      <c r="J53">
        <v>1</v>
      </c>
      <c r="K53">
        <v>1</v>
      </c>
      <c r="L53" t="s">
        <v>243</v>
      </c>
      <c r="M53" t="s">
        <v>244</v>
      </c>
      <c r="N53" t="s">
        <v>220</v>
      </c>
      <c r="O53">
        <v>0</v>
      </c>
      <c r="P53" t="s">
        <v>233</v>
      </c>
      <c r="Q53" t="s">
        <v>82</v>
      </c>
      <c r="R53">
        <v>10641</v>
      </c>
      <c r="S53" t="s">
        <v>244</v>
      </c>
      <c r="U53" t="s">
        <v>83</v>
      </c>
      <c r="V53" t="s">
        <v>234</v>
      </c>
      <c r="W53">
        <v>12279068</v>
      </c>
      <c r="X53" t="s">
        <v>235</v>
      </c>
      <c r="Y53">
        <f t="shared" si="0"/>
        <v>1.3924080000000001</v>
      </c>
      <c r="Z53">
        <f t="shared" si="1"/>
        <v>7.5839999999999996</v>
      </c>
      <c r="AA53">
        <f t="shared" si="2"/>
        <v>7.5839999999999996</v>
      </c>
      <c r="AB53" s="2">
        <f t="shared" si="16"/>
        <v>36</v>
      </c>
      <c r="AC53" s="2">
        <f t="shared" si="3"/>
        <v>29</v>
      </c>
      <c r="AD53" s="2">
        <f t="shared" si="4"/>
        <v>0</v>
      </c>
      <c r="AE53" s="2">
        <f t="shared" si="5"/>
        <v>0</v>
      </c>
      <c r="AF53" s="2">
        <f t="shared" si="6"/>
        <v>22</v>
      </c>
      <c r="AG53" s="2">
        <f t="shared" si="7"/>
        <v>0</v>
      </c>
      <c r="AH53" s="2">
        <f t="shared" si="8"/>
        <v>0</v>
      </c>
      <c r="AI53" s="1">
        <f t="shared" si="9"/>
        <v>273.024</v>
      </c>
      <c r="AJ53" s="1">
        <f t="shared" si="10"/>
        <v>455.03999999999996</v>
      </c>
      <c r="AK53" s="1" t="str">
        <f t="shared" si="11"/>
        <v/>
      </c>
      <c r="AL53" s="1" t="str">
        <f t="shared" si="12"/>
        <v/>
      </c>
      <c r="AM53" s="1">
        <f t="shared" si="13"/>
        <v>260</v>
      </c>
      <c r="AN53" s="5">
        <f t="shared" si="14"/>
        <v>0</v>
      </c>
      <c r="AO53" s="1" t="str">
        <f t="shared" si="15"/>
        <v/>
      </c>
    </row>
    <row r="54" spans="1:41">
      <c r="A54" t="s">
        <v>245</v>
      </c>
      <c r="B54" t="s">
        <v>76</v>
      </c>
      <c r="C54" t="s">
        <v>246</v>
      </c>
      <c r="D54">
        <v>674</v>
      </c>
      <c r="E54">
        <v>398</v>
      </c>
      <c r="F54">
        <v>0</v>
      </c>
      <c r="G54">
        <v>2</v>
      </c>
      <c r="H54">
        <v>1</v>
      </c>
      <c r="I54">
        <v>1</v>
      </c>
      <c r="J54">
        <v>1</v>
      </c>
      <c r="K54">
        <v>1</v>
      </c>
      <c r="L54" t="s">
        <v>247</v>
      </c>
      <c r="M54" t="s">
        <v>248</v>
      </c>
      <c r="N54" t="s">
        <v>220</v>
      </c>
      <c r="O54">
        <v>0</v>
      </c>
      <c r="P54" t="s">
        <v>233</v>
      </c>
      <c r="Q54" t="s">
        <v>82</v>
      </c>
      <c r="R54">
        <v>10641</v>
      </c>
      <c r="S54" t="s">
        <v>248</v>
      </c>
      <c r="U54" t="s">
        <v>83</v>
      </c>
      <c r="V54" t="s">
        <v>234</v>
      </c>
      <c r="W54">
        <v>12279083</v>
      </c>
      <c r="X54" t="s">
        <v>249</v>
      </c>
      <c r="Y54">
        <f t="shared" si="0"/>
        <v>0.53650399999999998</v>
      </c>
      <c r="Z54">
        <f t="shared" si="1"/>
        <v>4.2880000000000003</v>
      </c>
      <c r="AA54">
        <f t="shared" si="2"/>
        <v>4.2880000000000003</v>
      </c>
      <c r="AB54" s="2">
        <f t="shared" si="16"/>
        <v>34</v>
      </c>
      <c r="AC54" s="2">
        <f t="shared" si="3"/>
        <v>27</v>
      </c>
      <c r="AD54" s="2">
        <f t="shared" si="4"/>
        <v>0</v>
      </c>
      <c r="AE54" s="2">
        <f t="shared" si="5"/>
        <v>0</v>
      </c>
      <c r="AF54" s="2">
        <f t="shared" si="6"/>
        <v>20</v>
      </c>
      <c r="AG54" s="2">
        <f t="shared" si="7"/>
        <v>0</v>
      </c>
      <c r="AH54" s="2">
        <f t="shared" si="8"/>
        <v>0</v>
      </c>
      <c r="AI54" s="1">
        <f t="shared" si="9"/>
        <v>154.36799999999999</v>
      </c>
      <c r="AJ54" s="1">
        <f t="shared" si="10"/>
        <v>257.28000000000003</v>
      </c>
      <c r="AK54" s="1" t="str">
        <f t="shared" si="11"/>
        <v/>
      </c>
      <c r="AL54" s="1" t="str">
        <f t="shared" si="12"/>
        <v/>
      </c>
      <c r="AM54" s="1">
        <f t="shared" si="13"/>
        <v>260</v>
      </c>
      <c r="AN54" s="5">
        <f t="shared" si="14"/>
        <v>0</v>
      </c>
      <c r="AO54" s="1" t="str">
        <f t="shared" si="15"/>
        <v/>
      </c>
    </row>
    <row r="55" spans="1:41">
      <c r="A55" t="s">
        <v>250</v>
      </c>
      <c r="B55" t="s">
        <v>76</v>
      </c>
      <c r="C55" t="s">
        <v>251</v>
      </c>
      <c r="D55">
        <v>1092</v>
      </c>
      <c r="E55">
        <v>846</v>
      </c>
      <c r="F55">
        <v>0</v>
      </c>
      <c r="G55">
        <v>2</v>
      </c>
      <c r="H55">
        <v>1</v>
      </c>
      <c r="I55">
        <v>1</v>
      </c>
      <c r="J55">
        <v>1</v>
      </c>
      <c r="K55">
        <v>1</v>
      </c>
      <c r="L55" t="s">
        <v>252</v>
      </c>
      <c r="M55" t="s">
        <v>253</v>
      </c>
      <c r="N55" t="s">
        <v>220</v>
      </c>
      <c r="O55">
        <v>0</v>
      </c>
      <c r="P55" t="s">
        <v>254</v>
      </c>
      <c r="Q55" t="s">
        <v>82</v>
      </c>
      <c r="R55">
        <v>10641</v>
      </c>
      <c r="S55" t="s">
        <v>253</v>
      </c>
      <c r="U55" t="s">
        <v>83</v>
      </c>
      <c r="V55" t="s">
        <v>255</v>
      </c>
      <c r="W55">
        <v>12276462</v>
      </c>
      <c r="X55" t="s">
        <v>256</v>
      </c>
      <c r="Y55">
        <f t="shared" si="0"/>
        <v>1.847664</v>
      </c>
      <c r="Z55">
        <f t="shared" si="1"/>
        <v>7.7519999999999998</v>
      </c>
      <c r="AA55">
        <f t="shared" si="2"/>
        <v>7.7519999999999998</v>
      </c>
      <c r="AB55" s="2">
        <f t="shared" si="16"/>
        <v>25</v>
      </c>
      <c r="AC55" s="2">
        <f t="shared" si="3"/>
        <v>18</v>
      </c>
      <c r="AD55" s="2">
        <f t="shared" si="4"/>
        <v>0</v>
      </c>
      <c r="AE55" s="2">
        <f t="shared" si="5"/>
        <v>0</v>
      </c>
      <c r="AF55" s="2">
        <f t="shared" si="6"/>
        <v>0</v>
      </c>
      <c r="AG55" s="2">
        <f t="shared" si="7"/>
        <v>0</v>
      </c>
      <c r="AH55" s="2">
        <f t="shared" si="8"/>
        <v>0</v>
      </c>
      <c r="AI55" s="1">
        <f t="shared" si="9"/>
        <v>279.072</v>
      </c>
      <c r="AJ55" s="1">
        <f t="shared" si="10"/>
        <v>465.12</v>
      </c>
      <c r="AK55" s="1" t="str">
        <f t="shared" si="11"/>
        <v/>
      </c>
      <c r="AL55" s="1" t="str">
        <f t="shared" si="12"/>
        <v/>
      </c>
      <c r="AM55" s="1" t="str">
        <f t="shared" si="13"/>
        <v/>
      </c>
      <c r="AN55" s="5">
        <f t="shared" si="14"/>
        <v>0</v>
      </c>
      <c r="AO55" s="1" t="str">
        <f t="shared" si="15"/>
        <v/>
      </c>
    </row>
    <row r="56" spans="1:41">
      <c r="A56" t="s">
        <v>257</v>
      </c>
      <c r="B56" t="s">
        <v>76</v>
      </c>
      <c r="C56" t="s">
        <v>258</v>
      </c>
      <c r="D56">
        <v>950</v>
      </c>
      <c r="E56">
        <v>704</v>
      </c>
      <c r="F56">
        <v>0</v>
      </c>
      <c r="G56">
        <v>2</v>
      </c>
      <c r="H56">
        <v>1</v>
      </c>
      <c r="I56">
        <v>1</v>
      </c>
      <c r="J56">
        <v>1</v>
      </c>
      <c r="K56">
        <v>1</v>
      </c>
      <c r="L56" t="s">
        <v>259</v>
      </c>
      <c r="M56" t="s">
        <v>260</v>
      </c>
      <c r="N56" t="s">
        <v>220</v>
      </c>
      <c r="O56">
        <v>0</v>
      </c>
      <c r="P56" t="s">
        <v>254</v>
      </c>
      <c r="Q56" t="s">
        <v>82</v>
      </c>
      <c r="R56">
        <v>10641</v>
      </c>
      <c r="S56" t="s">
        <v>260</v>
      </c>
      <c r="U56" t="s">
        <v>83</v>
      </c>
      <c r="V56" t="s">
        <v>255</v>
      </c>
      <c r="W56">
        <v>12276458</v>
      </c>
      <c r="X56" t="s">
        <v>256</v>
      </c>
      <c r="Y56">
        <f t="shared" si="0"/>
        <v>1.3375999999999999</v>
      </c>
      <c r="Z56">
        <f t="shared" si="1"/>
        <v>6.6159999999999997</v>
      </c>
      <c r="AA56">
        <f t="shared" si="2"/>
        <v>6.6159999999999997</v>
      </c>
      <c r="AB56" s="2">
        <f t="shared" si="16"/>
        <v>25</v>
      </c>
      <c r="AC56" s="2">
        <f t="shared" si="3"/>
        <v>18</v>
      </c>
      <c r="AD56" s="2">
        <f t="shared" si="4"/>
        <v>0</v>
      </c>
      <c r="AE56" s="2">
        <f t="shared" si="5"/>
        <v>0</v>
      </c>
      <c r="AF56" s="2">
        <f t="shared" si="6"/>
        <v>0</v>
      </c>
      <c r="AG56" s="2">
        <f t="shared" si="7"/>
        <v>0</v>
      </c>
      <c r="AH56" s="2">
        <f t="shared" si="8"/>
        <v>0</v>
      </c>
      <c r="AI56" s="1">
        <f t="shared" si="9"/>
        <v>238.17599999999999</v>
      </c>
      <c r="AJ56" s="1">
        <f t="shared" si="10"/>
        <v>396.96</v>
      </c>
      <c r="AK56" s="1" t="str">
        <f t="shared" si="11"/>
        <v/>
      </c>
      <c r="AL56" s="1" t="str">
        <f t="shared" si="12"/>
        <v/>
      </c>
      <c r="AM56" s="1" t="str">
        <f t="shared" si="13"/>
        <v/>
      </c>
      <c r="AN56" s="5">
        <f t="shared" si="14"/>
        <v>0</v>
      </c>
      <c r="AO56" s="1" t="str">
        <f t="shared" si="15"/>
        <v/>
      </c>
    </row>
    <row r="57" spans="1:41">
      <c r="A57" t="s">
        <v>261</v>
      </c>
      <c r="B57" t="s">
        <v>76</v>
      </c>
      <c r="C57" t="s">
        <v>262</v>
      </c>
      <c r="D57">
        <v>1398</v>
      </c>
      <c r="E57">
        <v>298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 t="s">
        <v>263</v>
      </c>
      <c r="M57" t="s">
        <v>264</v>
      </c>
      <c r="N57" t="s">
        <v>220</v>
      </c>
      <c r="O57">
        <v>0</v>
      </c>
      <c r="P57" t="s">
        <v>233</v>
      </c>
      <c r="Q57" t="s">
        <v>82</v>
      </c>
      <c r="R57">
        <v>10641</v>
      </c>
      <c r="S57" t="s">
        <v>264</v>
      </c>
      <c r="U57" t="s">
        <v>83</v>
      </c>
      <c r="V57" t="s">
        <v>234</v>
      </c>
      <c r="W57">
        <v>12279063</v>
      </c>
      <c r="X57" t="s">
        <v>235</v>
      </c>
      <c r="Y57">
        <f t="shared" si="0"/>
        <v>0.41660399999999997</v>
      </c>
      <c r="Z57">
        <f t="shared" si="1"/>
        <v>3.3919999999999999</v>
      </c>
      <c r="AA57">
        <f t="shared" si="2"/>
        <v>3.3919999999999999</v>
      </c>
      <c r="AB57" s="2">
        <f t="shared" si="16"/>
        <v>42</v>
      </c>
      <c r="AC57" s="2">
        <f t="shared" si="3"/>
        <v>22</v>
      </c>
      <c r="AD57" s="2">
        <f t="shared" si="4"/>
        <v>0</v>
      </c>
      <c r="AE57" s="2">
        <f t="shared" si="5"/>
        <v>32</v>
      </c>
      <c r="AF57" s="2">
        <f t="shared" si="6"/>
        <v>0</v>
      </c>
      <c r="AG57" s="2">
        <f t="shared" si="7"/>
        <v>0</v>
      </c>
      <c r="AH57" s="2">
        <f t="shared" si="8"/>
        <v>0</v>
      </c>
      <c r="AI57" s="1">
        <f t="shared" si="9"/>
        <v>122.11199999999999</v>
      </c>
      <c r="AJ57" s="1">
        <f t="shared" si="10"/>
        <v>203.51999999999998</v>
      </c>
      <c r="AK57" s="1" t="str">
        <f t="shared" si="11"/>
        <v/>
      </c>
      <c r="AL57" s="1">
        <f t="shared" si="12"/>
        <v>240</v>
      </c>
      <c r="AM57" s="1" t="str">
        <f t="shared" si="13"/>
        <v/>
      </c>
      <c r="AN57" s="5">
        <f t="shared" si="14"/>
        <v>0</v>
      </c>
      <c r="AO57" s="1" t="str">
        <f t="shared" si="15"/>
        <v/>
      </c>
    </row>
    <row r="58" spans="1:41">
      <c r="A58" t="s">
        <v>265</v>
      </c>
      <c r="B58" t="s">
        <v>266</v>
      </c>
      <c r="C58" t="s">
        <v>267</v>
      </c>
      <c r="D58">
        <v>1800</v>
      </c>
      <c r="E58">
        <v>32</v>
      </c>
      <c r="F58">
        <v>0</v>
      </c>
      <c r="G58">
        <v>3</v>
      </c>
      <c r="H58">
        <v>1</v>
      </c>
      <c r="I58">
        <v>1</v>
      </c>
      <c r="J58">
        <v>1</v>
      </c>
      <c r="K58">
        <v>1</v>
      </c>
      <c r="L58" t="s">
        <v>268</v>
      </c>
      <c r="M58" t="s">
        <v>269</v>
      </c>
      <c r="N58" t="s">
        <v>270</v>
      </c>
      <c r="O58">
        <v>0</v>
      </c>
      <c r="P58" t="s">
        <v>271</v>
      </c>
      <c r="Q58" t="s">
        <v>134</v>
      </c>
      <c r="R58">
        <v>10695</v>
      </c>
      <c r="S58" t="s">
        <v>269</v>
      </c>
      <c r="U58" t="s">
        <v>272</v>
      </c>
      <c r="V58" t="s">
        <v>273</v>
      </c>
      <c r="W58">
        <v>12277980</v>
      </c>
      <c r="X58" t="s">
        <v>274</v>
      </c>
      <c r="Y58">
        <f t="shared" si="0"/>
        <v>0.17280000000000001</v>
      </c>
      <c r="Z58">
        <f t="shared" si="1"/>
        <v>10.992000000000001</v>
      </c>
      <c r="AA58">
        <f t="shared" si="2"/>
        <v>10.992000000000001</v>
      </c>
      <c r="AB58" s="2">
        <f t="shared" si="16"/>
        <v>9</v>
      </c>
      <c r="AC58" s="2">
        <f t="shared" si="3"/>
        <v>0</v>
      </c>
      <c r="AD58" s="2">
        <f t="shared" si="4"/>
        <v>0</v>
      </c>
      <c r="AE58" s="2">
        <f t="shared" si="5"/>
        <v>0</v>
      </c>
      <c r="AF58" s="2">
        <f t="shared" si="6"/>
        <v>0</v>
      </c>
      <c r="AG58" s="2">
        <f t="shared" si="7"/>
        <v>0</v>
      </c>
      <c r="AH58" s="2">
        <f t="shared" si="8"/>
        <v>0</v>
      </c>
      <c r="AI58" s="1">
        <f t="shared" si="9"/>
        <v>395.71200000000005</v>
      </c>
      <c r="AJ58" s="1">
        <f t="shared" si="10"/>
        <v>659.5200000000001</v>
      </c>
      <c r="AK58" s="1" t="str">
        <f t="shared" si="11"/>
        <v/>
      </c>
      <c r="AL58" s="1" t="str">
        <f t="shared" si="12"/>
        <v/>
      </c>
      <c r="AM58" s="1" t="str">
        <f t="shared" si="13"/>
        <v/>
      </c>
      <c r="AN58" s="5">
        <f t="shared" si="14"/>
        <v>0</v>
      </c>
      <c r="AO58" s="1" t="str">
        <f t="shared" si="15"/>
        <v/>
      </c>
    </row>
    <row r="59" spans="1:41">
      <c r="A59" t="s">
        <v>275</v>
      </c>
      <c r="B59" t="s">
        <v>266</v>
      </c>
      <c r="C59" t="s">
        <v>276</v>
      </c>
      <c r="D59">
        <v>1800</v>
      </c>
      <c r="E59">
        <v>32</v>
      </c>
      <c r="F59">
        <v>0</v>
      </c>
      <c r="G59">
        <v>3</v>
      </c>
      <c r="H59">
        <v>1</v>
      </c>
      <c r="I59">
        <v>1</v>
      </c>
      <c r="J59">
        <v>1</v>
      </c>
      <c r="K59">
        <v>1</v>
      </c>
      <c r="L59" t="s">
        <v>277</v>
      </c>
      <c r="M59" t="s">
        <v>278</v>
      </c>
      <c r="N59" t="s">
        <v>270</v>
      </c>
      <c r="O59">
        <v>0</v>
      </c>
      <c r="P59" t="s">
        <v>271</v>
      </c>
      <c r="Q59" t="s">
        <v>134</v>
      </c>
      <c r="R59">
        <v>10695</v>
      </c>
      <c r="S59" t="s">
        <v>278</v>
      </c>
      <c r="U59" t="s">
        <v>272</v>
      </c>
      <c r="V59" t="s">
        <v>273</v>
      </c>
      <c r="W59">
        <v>12277986</v>
      </c>
      <c r="X59" t="s">
        <v>274</v>
      </c>
      <c r="Y59">
        <f t="shared" si="0"/>
        <v>0.17280000000000001</v>
      </c>
      <c r="Z59">
        <f t="shared" si="1"/>
        <v>10.992000000000001</v>
      </c>
      <c r="AA59">
        <f t="shared" si="2"/>
        <v>10.992000000000001</v>
      </c>
      <c r="AB59" s="2">
        <f t="shared" si="16"/>
        <v>9</v>
      </c>
      <c r="AC59" s="2">
        <f t="shared" si="3"/>
        <v>0</v>
      </c>
      <c r="AD59" s="2">
        <f t="shared" si="4"/>
        <v>0</v>
      </c>
      <c r="AE59" s="2">
        <f t="shared" si="5"/>
        <v>0</v>
      </c>
      <c r="AF59" s="2">
        <f t="shared" si="6"/>
        <v>0</v>
      </c>
      <c r="AG59" s="2">
        <f t="shared" si="7"/>
        <v>0</v>
      </c>
      <c r="AH59" s="2">
        <f t="shared" si="8"/>
        <v>0</v>
      </c>
      <c r="AI59" s="1">
        <f t="shared" si="9"/>
        <v>395.71200000000005</v>
      </c>
      <c r="AJ59" s="1">
        <f t="shared" si="10"/>
        <v>659.5200000000001</v>
      </c>
      <c r="AK59" s="1" t="str">
        <f t="shared" si="11"/>
        <v/>
      </c>
      <c r="AL59" s="1" t="str">
        <f t="shared" si="12"/>
        <v/>
      </c>
      <c r="AM59" s="1" t="str">
        <f t="shared" si="13"/>
        <v/>
      </c>
      <c r="AN59" s="5">
        <f t="shared" si="14"/>
        <v>0</v>
      </c>
      <c r="AO59" s="1" t="str">
        <f t="shared" si="15"/>
        <v/>
      </c>
    </row>
    <row r="60" spans="1:41">
      <c r="A60" t="s">
        <v>279</v>
      </c>
      <c r="B60" t="s">
        <v>266</v>
      </c>
      <c r="C60" t="s">
        <v>280</v>
      </c>
      <c r="D60">
        <v>1280</v>
      </c>
      <c r="E60">
        <v>250</v>
      </c>
      <c r="F60">
        <v>1</v>
      </c>
      <c r="G60">
        <v>1</v>
      </c>
      <c r="L60" t="s">
        <v>281</v>
      </c>
      <c r="M60" t="s">
        <v>282</v>
      </c>
      <c r="N60" t="s">
        <v>283</v>
      </c>
      <c r="O60">
        <v>0</v>
      </c>
      <c r="P60" t="s">
        <v>271</v>
      </c>
      <c r="Q60" t="s">
        <v>134</v>
      </c>
      <c r="R60">
        <v>10695</v>
      </c>
      <c r="S60" t="s">
        <v>282</v>
      </c>
      <c r="U60" t="s">
        <v>272</v>
      </c>
      <c r="V60" t="s">
        <v>273</v>
      </c>
      <c r="W60">
        <v>12277885</v>
      </c>
      <c r="X60" t="s">
        <v>284</v>
      </c>
      <c r="Y60">
        <f t="shared" si="0"/>
        <v>0.32</v>
      </c>
      <c r="Z60">
        <f t="shared" si="1"/>
        <v>3.06</v>
      </c>
      <c r="AA60">
        <f t="shared" si="2"/>
        <v>0</v>
      </c>
      <c r="AB60" s="2">
        <f t="shared" si="16"/>
        <v>12</v>
      </c>
      <c r="AC60" s="2">
        <f t="shared" si="3"/>
        <v>0</v>
      </c>
      <c r="AD60" s="2">
        <f t="shared" si="4"/>
        <v>0</v>
      </c>
      <c r="AE60" s="2">
        <f t="shared" si="5"/>
        <v>9</v>
      </c>
      <c r="AF60" s="2">
        <f t="shared" si="6"/>
        <v>0</v>
      </c>
      <c r="AG60" s="2">
        <f t="shared" si="7"/>
        <v>0</v>
      </c>
      <c r="AH60" s="2">
        <f t="shared" si="8"/>
        <v>0</v>
      </c>
      <c r="AI60" s="1">
        <f t="shared" si="9"/>
        <v>110.16</v>
      </c>
      <c r="AJ60" s="1">
        <f t="shared" si="10"/>
        <v>0</v>
      </c>
      <c r="AK60" s="1" t="str">
        <f t="shared" si="11"/>
        <v/>
      </c>
      <c r="AL60" s="1">
        <f t="shared" si="12"/>
        <v>240</v>
      </c>
      <c r="AM60" s="1" t="str">
        <f t="shared" si="13"/>
        <v/>
      </c>
      <c r="AN60" s="5">
        <f t="shared" si="14"/>
        <v>0</v>
      </c>
      <c r="AO60" s="1" t="str">
        <f t="shared" si="15"/>
        <v/>
      </c>
    </row>
    <row r="61" spans="1:41">
      <c r="A61" t="s">
        <v>285</v>
      </c>
      <c r="B61" t="s">
        <v>266</v>
      </c>
      <c r="C61" t="s">
        <v>286</v>
      </c>
      <c r="D61">
        <v>2160</v>
      </c>
      <c r="E61">
        <v>120</v>
      </c>
      <c r="F61">
        <v>1</v>
      </c>
      <c r="G61">
        <v>2</v>
      </c>
      <c r="L61" t="s">
        <v>287</v>
      </c>
      <c r="M61" t="s">
        <v>288</v>
      </c>
      <c r="N61" t="s">
        <v>283</v>
      </c>
      <c r="O61">
        <v>0</v>
      </c>
      <c r="P61" t="s">
        <v>289</v>
      </c>
      <c r="Q61" t="s">
        <v>134</v>
      </c>
      <c r="R61">
        <v>10695</v>
      </c>
      <c r="S61" t="s">
        <v>288</v>
      </c>
      <c r="U61" t="s">
        <v>290</v>
      </c>
      <c r="V61" t="s">
        <v>291</v>
      </c>
      <c r="W61">
        <v>12278142</v>
      </c>
      <c r="X61" t="s">
        <v>292</v>
      </c>
      <c r="Y61">
        <f t="shared" si="0"/>
        <v>0.51839999999999997</v>
      </c>
      <c r="Z61">
        <f t="shared" si="1"/>
        <v>9.1199999999999992</v>
      </c>
      <c r="AA61">
        <f t="shared" si="2"/>
        <v>0</v>
      </c>
      <c r="AB61" s="2">
        <f t="shared" si="16"/>
        <v>12</v>
      </c>
      <c r="AC61" s="2">
        <f t="shared" si="3"/>
        <v>0</v>
      </c>
      <c r="AD61" s="2">
        <f t="shared" si="4"/>
        <v>0</v>
      </c>
      <c r="AE61" s="2">
        <f t="shared" si="5"/>
        <v>9</v>
      </c>
      <c r="AF61" s="2">
        <f t="shared" si="6"/>
        <v>0</v>
      </c>
      <c r="AG61" s="2">
        <f t="shared" si="7"/>
        <v>0</v>
      </c>
      <c r="AH61" s="2">
        <f t="shared" si="8"/>
        <v>0</v>
      </c>
      <c r="AI61" s="1">
        <f t="shared" si="9"/>
        <v>328.32</v>
      </c>
      <c r="AJ61" s="1">
        <f t="shared" si="10"/>
        <v>0</v>
      </c>
      <c r="AK61" s="1" t="str">
        <f t="shared" si="11"/>
        <v/>
      </c>
      <c r="AL61" s="1">
        <f t="shared" si="12"/>
        <v>480</v>
      </c>
      <c r="AM61" s="1" t="str">
        <f t="shared" si="13"/>
        <v/>
      </c>
      <c r="AN61" s="5">
        <f t="shared" si="14"/>
        <v>0</v>
      </c>
      <c r="AO61" s="1" t="str">
        <f t="shared" si="15"/>
        <v/>
      </c>
    </row>
    <row r="62" spans="1:41">
      <c r="A62" t="s">
        <v>293</v>
      </c>
      <c r="B62" t="s">
        <v>266</v>
      </c>
      <c r="C62" t="s">
        <v>294</v>
      </c>
      <c r="D62">
        <v>992</v>
      </c>
      <c r="E62">
        <v>120</v>
      </c>
      <c r="F62">
        <v>1</v>
      </c>
      <c r="G62">
        <v>2</v>
      </c>
      <c r="L62" t="s">
        <v>295</v>
      </c>
      <c r="M62" t="s">
        <v>296</v>
      </c>
      <c r="N62" t="s">
        <v>283</v>
      </c>
      <c r="O62">
        <v>0</v>
      </c>
      <c r="P62" t="s">
        <v>289</v>
      </c>
      <c r="Q62" t="s">
        <v>134</v>
      </c>
      <c r="R62">
        <v>10695</v>
      </c>
      <c r="S62" t="s">
        <v>296</v>
      </c>
      <c r="U62" t="s">
        <v>290</v>
      </c>
      <c r="V62" t="s">
        <v>291</v>
      </c>
      <c r="W62">
        <v>12278140</v>
      </c>
      <c r="X62" t="s">
        <v>292</v>
      </c>
      <c r="Y62">
        <f t="shared" si="0"/>
        <v>0.23808000000000001</v>
      </c>
      <c r="Z62">
        <f t="shared" si="1"/>
        <v>4.4480000000000004</v>
      </c>
      <c r="AA62">
        <f t="shared" si="2"/>
        <v>0</v>
      </c>
      <c r="AB62" s="2">
        <f t="shared" si="16"/>
        <v>12</v>
      </c>
      <c r="AC62" s="2">
        <f t="shared" si="3"/>
        <v>0</v>
      </c>
      <c r="AD62" s="2">
        <f t="shared" si="4"/>
        <v>0</v>
      </c>
      <c r="AE62" s="2">
        <f t="shared" si="5"/>
        <v>9</v>
      </c>
      <c r="AF62" s="2">
        <f t="shared" si="6"/>
        <v>0</v>
      </c>
      <c r="AG62" s="2">
        <f t="shared" si="7"/>
        <v>0</v>
      </c>
      <c r="AH62" s="2">
        <f t="shared" si="8"/>
        <v>0</v>
      </c>
      <c r="AI62" s="1">
        <f t="shared" si="9"/>
        <v>160.12800000000001</v>
      </c>
      <c r="AJ62" s="1">
        <f t="shared" si="10"/>
        <v>0</v>
      </c>
      <c r="AK62" s="1" t="str">
        <f t="shared" si="11"/>
        <v/>
      </c>
      <c r="AL62" s="1">
        <f t="shared" si="12"/>
        <v>480</v>
      </c>
      <c r="AM62" s="1" t="str">
        <f t="shared" si="13"/>
        <v/>
      </c>
      <c r="AN62" s="5">
        <f t="shared" si="14"/>
        <v>0</v>
      </c>
      <c r="AO62" s="1" t="str">
        <f t="shared" si="15"/>
        <v/>
      </c>
    </row>
    <row r="63" spans="1:41">
      <c r="A63" t="s">
        <v>297</v>
      </c>
      <c r="B63" t="s">
        <v>266</v>
      </c>
      <c r="C63" t="s">
        <v>298</v>
      </c>
      <c r="D63">
        <v>580</v>
      </c>
      <c r="E63">
        <v>100</v>
      </c>
      <c r="F63">
        <v>1</v>
      </c>
      <c r="G63">
        <v>8</v>
      </c>
      <c r="L63" t="s">
        <v>299</v>
      </c>
      <c r="M63" t="s">
        <v>300</v>
      </c>
      <c r="N63" t="s">
        <v>283</v>
      </c>
      <c r="O63">
        <v>0</v>
      </c>
      <c r="P63" t="s">
        <v>48</v>
      </c>
      <c r="Q63" t="s">
        <v>49</v>
      </c>
      <c r="R63">
        <v>3450</v>
      </c>
      <c r="S63" t="s">
        <v>300</v>
      </c>
      <c r="U63" t="s">
        <v>50</v>
      </c>
      <c r="V63" t="s">
        <v>51</v>
      </c>
      <c r="W63">
        <v>12279439</v>
      </c>
      <c r="X63" t="s">
        <v>301</v>
      </c>
      <c r="Y63">
        <f t="shared" si="0"/>
        <v>0.46400000000000002</v>
      </c>
      <c r="Z63">
        <f t="shared" si="1"/>
        <v>10.88</v>
      </c>
      <c r="AA63">
        <f t="shared" si="2"/>
        <v>0</v>
      </c>
      <c r="AB63" s="2">
        <f t="shared" si="16"/>
        <v>10</v>
      </c>
      <c r="AC63" s="2">
        <f t="shared" si="3"/>
        <v>0</v>
      </c>
      <c r="AD63" s="2">
        <f t="shared" si="4"/>
        <v>0</v>
      </c>
      <c r="AE63" s="2">
        <f t="shared" si="5"/>
        <v>0</v>
      </c>
      <c r="AF63" s="2">
        <f t="shared" si="6"/>
        <v>0</v>
      </c>
      <c r="AG63" s="2">
        <f t="shared" si="7"/>
        <v>0</v>
      </c>
      <c r="AH63" s="2">
        <f t="shared" si="8"/>
        <v>0</v>
      </c>
      <c r="AI63" s="1">
        <f t="shared" si="9"/>
        <v>391.68</v>
      </c>
      <c r="AJ63" s="1">
        <f t="shared" si="10"/>
        <v>0</v>
      </c>
      <c r="AK63" s="1" t="str">
        <f t="shared" si="11"/>
        <v/>
      </c>
      <c r="AL63" s="1" t="str">
        <f t="shared" si="12"/>
        <v/>
      </c>
      <c r="AM63" s="1" t="str">
        <f t="shared" si="13"/>
        <v/>
      </c>
      <c r="AN63" s="5">
        <f t="shared" si="14"/>
        <v>0</v>
      </c>
      <c r="AO63" s="1" t="str">
        <f t="shared" si="15"/>
        <v/>
      </c>
    </row>
    <row r="64" spans="1:41">
      <c r="A64" t="s">
        <v>297</v>
      </c>
      <c r="B64" t="s">
        <v>266</v>
      </c>
      <c r="C64" t="s">
        <v>302</v>
      </c>
      <c r="D64">
        <v>580</v>
      </c>
      <c r="E64">
        <v>100</v>
      </c>
      <c r="F64">
        <v>1</v>
      </c>
      <c r="G64">
        <v>6</v>
      </c>
      <c r="L64" t="s">
        <v>299</v>
      </c>
      <c r="M64" t="s">
        <v>300</v>
      </c>
      <c r="N64" t="s">
        <v>283</v>
      </c>
      <c r="O64">
        <v>0</v>
      </c>
      <c r="P64" t="s">
        <v>54</v>
      </c>
      <c r="Q64" t="s">
        <v>49</v>
      </c>
      <c r="R64">
        <v>3450</v>
      </c>
      <c r="S64" t="s">
        <v>300</v>
      </c>
      <c r="U64" t="s">
        <v>50</v>
      </c>
      <c r="V64" t="s">
        <v>51</v>
      </c>
      <c r="W64">
        <v>12279539</v>
      </c>
      <c r="X64" t="s">
        <v>301</v>
      </c>
      <c r="Y64">
        <f t="shared" si="0"/>
        <v>0.34799999999999998</v>
      </c>
      <c r="Z64">
        <f t="shared" si="1"/>
        <v>8.16</v>
      </c>
      <c r="AA64">
        <f t="shared" si="2"/>
        <v>0</v>
      </c>
      <c r="AB64" s="2">
        <f t="shared" si="16"/>
        <v>10</v>
      </c>
      <c r="AC64" s="2">
        <f t="shared" si="3"/>
        <v>0</v>
      </c>
      <c r="AD64" s="2">
        <f t="shared" si="4"/>
        <v>0</v>
      </c>
      <c r="AE64" s="2">
        <f t="shared" si="5"/>
        <v>0</v>
      </c>
      <c r="AF64" s="2">
        <f t="shared" si="6"/>
        <v>0</v>
      </c>
      <c r="AG64" s="2">
        <f t="shared" si="7"/>
        <v>0</v>
      </c>
      <c r="AH64" s="2">
        <f t="shared" si="8"/>
        <v>0</v>
      </c>
      <c r="AI64" s="1">
        <f t="shared" si="9"/>
        <v>293.76</v>
      </c>
      <c r="AJ64" s="1">
        <f t="shared" si="10"/>
        <v>0</v>
      </c>
      <c r="AK64" s="1" t="str">
        <f t="shared" si="11"/>
        <v/>
      </c>
      <c r="AL64" s="1" t="str">
        <f t="shared" si="12"/>
        <v/>
      </c>
      <c r="AM64" s="1" t="str">
        <f t="shared" si="13"/>
        <v/>
      </c>
      <c r="AN64" s="5">
        <f t="shared" si="14"/>
        <v>0</v>
      </c>
      <c r="AO64" s="1" t="str">
        <f t="shared" si="15"/>
        <v/>
      </c>
    </row>
    <row r="65" spans="1:41">
      <c r="A65" t="s">
        <v>297</v>
      </c>
      <c r="B65" t="s">
        <v>266</v>
      </c>
      <c r="C65" t="s">
        <v>302</v>
      </c>
      <c r="D65">
        <v>580</v>
      </c>
      <c r="E65">
        <v>100</v>
      </c>
      <c r="F65">
        <v>1</v>
      </c>
      <c r="G65">
        <v>6</v>
      </c>
      <c r="L65" t="s">
        <v>299</v>
      </c>
      <c r="M65" t="s">
        <v>300</v>
      </c>
      <c r="N65" t="s">
        <v>283</v>
      </c>
      <c r="O65">
        <v>0</v>
      </c>
      <c r="P65" t="s">
        <v>54</v>
      </c>
      <c r="Q65" t="s">
        <v>49</v>
      </c>
      <c r="R65">
        <v>3450</v>
      </c>
      <c r="S65" t="s">
        <v>300</v>
      </c>
      <c r="U65" t="s">
        <v>50</v>
      </c>
      <c r="V65" t="s">
        <v>51</v>
      </c>
      <c r="W65">
        <v>12279642</v>
      </c>
      <c r="X65" t="s">
        <v>301</v>
      </c>
      <c r="Y65">
        <f t="shared" si="0"/>
        <v>0.34799999999999998</v>
      </c>
      <c r="Z65">
        <f t="shared" si="1"/>
        <v>8.16</v>
      </c>
      <c r="AA65">
        <f t="shared" si="2"/>
        <v>0</v>
      </c>
      <c r="AB65" s="2">
        <f t="shared" si="16"/>
        <v>10</v>
      </c>
      <c r="AC65" s="2">
        <f t="shared" si="3"/>
        <v>0</v>
      </c>
      <c r="AD65" s="2">
        <f t="shared" si="4"/>
        <v>0</v>
      </c>
      <c r="AE65" s="2">
        <f t="shared" si="5"/>
        <v>0</v>
      </c>
      <c r="AF65" s="2">
        <f t="shared" si="6"/>
        <v>0</v>
      </c>
      <c r="AG65" s="2">
        <f t="shared" si="7"/>
        <v>0</v>
      </c>
      <c r="AH65" s="2">
        <f t="shared" si="8"/>
        <v>0</v>
      </c>
      <c r="AI65" s="1">
        <f t="shared" si="9"/>
        <v>293.76</v>
      </c>
      <c r="AJ65" s="1">
        <f t="shared" si="10"/>
        <v>0</v>
      </c>
      <c r="AK65" s="1" t="str">
        <f t="shared" si="11"/>
        <v/>
      </c>
      <c r="AL65" s="1" t="str">
        <f t="shared" si="12"/>
        <v/>
      </c>
      <c r="AM65" s="1" t="str">
        <f t="shared" si="13"/>
        <v/>
      </c>
      <c r="AN65" s="5">
        <f t="shared" si="14"/>
        <v>0</v>
      </c>
      <c r="AO65" s="1" t="str">
        <f t="shared" si="15"/>
        <v/>
      </c>
    </row>
    <row r="66" spans="1:41">
      <c r="A66" t="s">
        <v>303</v>
      </c>
      <c r="B66" t="s">
        <v>266</v>
      </c>
      <c r="C66" t="s">
        <v>304</v>
      </c>
      <c r="D66">
        <v>1187</v>
      </c>
      <c r="E66">
        <v>100</v>
      </c>
      <c r="F66">
        <v>1</v>
      </c>
      <c r="G66">
        <v>8</v>
      </c>
      <c r="L66" t="s">
        <v>305</v>
      </c>
      <c r="M66" t="s">
        <v>306</v>
      </c>
      <c r="N66" t="s">
        <v>283</v>
      </c>
      <c r="O66">
        <v>0</v>
      </c>
      <c r="P66" t="s">
        <v>48</v>
      </c>
      <c r="Q66" t="s">
        <v>49</v>
      </c>
      <c r="R66">
        <v>3450</v>
      </c>
      <c r="S66" t="s">
        <v>306</v>
      </c>
      <c r="U66" t="s">
        <v>50</v>
      </c>
      <c r="V66" t="s">
        <v>51</v>
      </c>
      <c r="W66">
        <v>12279441</v>
      </c>
      <c r="X66" t="s">
        <v>301</v>
      </c>
      <c r="Y66">
        <f t="shared" si="0"/>
        <v>0.9496</v>
      </c>
      <c r="Z66">
        <f t="shared" si="1"/>
        <v>20.591999999999999</v>
      </c>
      <c r="AA66">
        <f t="shared" si="2"/>
        <v>0</v>
      </c>
      <c r="AB66" s="2">
        <f t="shared" si="16"/>
        <v>13</v>
      </c>
      <c r="AC66" s="2">
        <f t="shared" si="3"/>
        <v>0</v>
      </c>
      <c r="AD66" s="2">
        <f t="shared" si="4"/>
        <v>0</v>
      </c>
      <c r="AE66" s="2">
        <f t="shared" si="5"/>
        <v>0</v>
      </c>
      <c r="AF66" s="2">
        <f t="shared" si="6"/>
        <v>10</v>
      </c>
      <c r="AG66" s="2">
        <f t="shared" si="7"/>
        <v>0</v>
      </c>
      <c r="AH66" s="2">
        <f t="shared" si="8"/>
        <v>0</v>
      </c>
      <c r="AI66" s="1">
        <f t="shared" si="9"/>
        <v>741.3119999999999</v>
      </c>
      <c r="AJ66" s="1">
        <f t="shared" si="10"/>
        <v>0</v>
      </c>
      <c r="AK66" s="1" t="str">
        <f t="shared" si="11"/>
        <v/>
      </c>
      <c r="AL66" s="1" t="str">
        <f t="shared" si="12"/>
        <v/>
      </c>
      <c r="AM66" s="1">
        <f t="shared" si="13"/>
        <v>1040</v>
      </c>
      <c r="AN66" s="5">
        <f t="shared" si="14"/>
        <v>0</v>
      </c>
      <c r="AO66" s="1" t="str">
        <f t="shared" si="15"/>
        <v/>
      </c>
    </row>
    <row r="67" spans="1:41">
      <c r="A67" t="s">
        <v>303</v>
      </c>
      <c r="B67" t="s">
        <v>266</v>
      </c>
      <c r="C67" t="s">
        <v>307</v>
      </c>
      <c r="D67">
        <v>1187</v>
      </c>
      <c r="E67">
        <v>100</v>
      </c>
      <c r="F67">
        <v>1</v>
      </c>
      <c r="G67">
        <v>6</v>
      </c>
      <c r="L67" t="s">
        <v>305</v>
      </c>
      <c r="M67" t="s">
        <v>306</v>
      </c>
      <c r="N67" t="s">
        <v>283</v>
      </c>
      <c r="O67">
        <v>0</v>
      </c>
      <c r="P67" t="s">
        <v>54</v>
      </c>
      <c r="Q67" t="s">
        <v>49</v>
      </c>
      <c r="R67">
        <v>3450</v>
      </c>
      <c r="S67" t="s">
        <v>306</v>
      </c>
      <c r="U67" t="s">
        <v>50</v>
      </c>
      <c r="V67" t="s">
        <v>51</v>
      </c>
      <c r="W67">
        <v>12279541</v>
      </c>
      <c r="X67" t="s">
        <v>301</v>
      </c>
      <c r="Y67">
        <f t="shared" si="0"/>
        <v>0.71220000000000006</v>
      </c>
      <c r="Z67">
        <f t="shared" si="1"/>
        <v>15.443999999999999</v>
      </c>
      <c r="AA67">
        <f t="shared" si="2"/>
        <v>0</v>
      </c>
      <c r="AB67" s="2">
        <f t="shared" si="16"/>
        <v>13</v>
      </c>
      <c r="AC67" s="2">
        <f t="shared" si="3"/>
        <v>0</v>
      </c>
      <c r="AD67" s="2">
        <f t="shared" si="4"/>
        <v>0</v>
      </c>
      <c r="AE67" s="2">
        <f t="shared" si="5"/>
        <v>0</v>
      </c>
      <c r="AF67" s="2">
        <f t="shared" si="6"/>
        <v>10</v>
      </c>
      <c r="AG67" s="2">
        <f t="shared" si="7"/>
        <v>0</v>
      </c>
      <c r="AH67" s="2">
        <f t="shared" si="8"/>
        <v>0</v>
      </c>
      <c r="AI67" s="1">
        <f t="shared" si="9"/>
        <v>555.98399999999992</v>
      </c>
      <c r="AJ67" s="1">
        <f t="shared" si="10"/>
        <v>0</v>
      </c>
      <c r="AK67" s="1" t="str">
        <f t="shared" si="11"/>
        <v/>
      </c>
      <c r="AL67" s="1" t="str">
        <f t="shared" si="12"/>
        <v/>
      </c>
      <c r="AM67" s="1">
        <f t="shared" ref="AM67:AM130" si="17">IF(AF67&gt;0,G67*(130),"")</f>
        <v>780</v>
      </c>
      <c r="AN67" s="5">
        <f t="shared" ref="AN67:AN130" si="18">IF(AG67&gt;0,G67*252)+IF(AG67&gt;0,G67*Y67*662)</f>
        <v>0</v>
      </c>
      <c r="AO67" s="1" t="str">
        <f t="shared" si="15"/>
        <v/>
      </c>
    </row>
    <row r="68" spans="1:41">
      <c r="A68" t="s">
        <v>303</v>
      </c>
      <c r="B68" t="s">
        <v>266</v>
      </c>
      <c r="C68" t="s">
        <v>307</v>
      </c>
      <c r="D68">
        <v>1187</v>
      </c>
      <c r="E68">
        <v>100</v>
      </c>
      <c r="F68">
        <v>1</v>
      </c>
      <c r="G68">
        <v>6</v>
      </c>
      <c r="L68" t="s">
        <v>305</v>
      </c>
      <c r="M68" t="s">
        <v>306</v>
      </c>
      <c r="N68" t="s">
        <v>283</v>
      </c>
      <c r="O68">
        <v>0</v>
      </c>
      <c r="P68" t="s">
        <v>54</v>
      </c>
      <c r="Q68" t="s">
        <v>49</v>
      </c>
      <c r="R68">
        <v>3450</v>
      </c>
      <c r="S68" t="s">
        <v>306</v>
      </c>
      <c r="U68" t="s">
        <v>50</v>
      </c>
      <c r="V68" t="s">
        <v>51</v>
      </c>
      <c r="W68">
        <v>12279644</v>
      </c>
      <c r="X68" t="s">
        <v>301</v>
      </c>
      <c r="Y68">
        <f t="shared" ref="Y68:Y131" si="19">(D68*E68)*G68/1000000</f>
        <v>0.71220000000000006</v>
      </c>
      <c r="Z68">
        <f t="shared" ref="Z68:Z131" si="20">(((D68+E68)*2)/1000)*G68</f>
        <v>15.443999999999999</v>
      </c>
      <c r="AA68">
        <f t="shared" ref="AA68:AA131" si="21">(((D68*H68)+(D68*I68)+(E68*J68)+(E68*K68))/1000)*G68</f>
        <v>0</v>
      </c>
      <c r="AB68" s="2">
        <f t="shared" ref="AB68:AB131" si="22">SEARCH($AB$1,C68)</f>
        <v>13</v>
      </c>
      <c r="AC68" s="2">
        <f t="shared" ref="AC68:AC131" si="23">IFERROR(SEARCH($AC$1,C68),0)</f>
        <v>0</v>
      </c>
      <c r="AD68" s="2">
        <f t="shared" ref="AD68:AD131" si="24">IFERROR(SEARCH($AD$1,C68),0)</f>
        <v>0</v>
      </c>
      <c r="AE68" s="2">
        <f t="shared" ref="AE68:AE131" si="25">IFERROR(SEARCH($AE$1,C68),0)</f>
        <v>0</v>
      </c>
      <c r="AF68" s="2">
        <f t="shared" ref="AF68:AF131" si="26">IFERROR(SEARCH($AF$1,C68),0)</f>
        <v>10</v>
      </c>
      <c r="AG68" s="2">
        <f t="shared" ref="AG68:AG131" si="27">IFERROR(SEARCH($AG$1,C68),0)</f>
        <v>0</v>
      </c>
      <c r="AH68" s="2">
        <f t="shared" ref="AH68:AH131" si="28">IFERROR(SEARCH($AH$1,C68),0)</f>
        <v>0</v>
      </c>
      <c r="AI68" s="1">
        <f t="shared" ref="AI68:AI131" si="29">Z68*36</f>
        <v>555.98399999999992</v>
      </c>
      <c r="AJ68" s="1">
        <f t="shared" ref="AJ68:AJ131" si="30">AA68*60</f>
        <v>0</v>
      </c>
      <c r="AK68" s="1" t="str">
        <f t="shared" ref="AK68:AK131" si="31">IF(AD68&gt;0,G68*220,"")</f>
        <v/>
      </c>
      <c r="AL68" s="1" t="str">
        <f t="shared" ref="AL68:AL131" si="32">IF(AE68&gt;0,G68*(240),"")</f>
        <v/>
      </c>
      <c r="AM68" s="1">
        <f t="shared" si="17"/>
        <v>780</v>
      </c>
      <c r="AN68" s="5">
        <f t="shared" si="18"/>
        <v>0</v>
      </c>
      <c r="AO68" s="1" t="str">
        <f t="shared" ref="AO68:AO131" si="33">IF(AH68&gt;0,G68*4800,"")</f>
        <v/>
      </c>
    </row>
    <row r="69" spans="1:41">
      <c r="A69" t="s">
        <v>308</v>
      </c>
      <c r="B69" t="s">
        <v>266</v>
      </c>
      <c r="C69" t="s">
        <v>309</v>
      </c>
      <c r="D69">
        <v>580</v>
      </c>
      <c r="E69">
        <v>100</v>
      </c>
      <c r="F69">
        <v>1</v>
      </c>
      <c r="G69">
        <v>8</v>
      </c>
      <c r="L69" t="s">
        <v>310</v>
      </c>
      <c r="M69" t="s">
        <v>300</v>
      </c>
      <c r="N69" t="s">
        <v>283</v>
      </c>
      <c r="O69">
        <v>0</v>
      </c>
      <c r="P69" t="s">
        <v>48</v>
      </c>
      <c r="Q69" t="s">
        <v>49</v>
      </c>
      <c r="R69">
        <v>3450</v>
      </c>
      <c r="S69" t="s">
        <v>300</v>
      </c>
      <c r="U69" t="s">
        <v>50</v>
      </c>
      <c r="V69" t="s">
        <v>51</v>
      </c>
      <c r="W69">
        <v>12279443</v>
      </c>
      <c r="X69" t="s">
        <v>301</v>
      </c>
      <c r="Y69">
        <f t="shared" si="19"/>
        <v>0.46400000000000002</v>
      </c>
      <c r="Z69">
        <f t="shared" si="20"/>
        <v>10.88</v>
      </c>
      <c r="AA69">
        <f t="shared" si="21"/>
        <v>0</v>
      </c>
      <c r="AB69" s="2">
        <f t="shared" si="22"/>
        <v>10</v>
      </c>
      <c r="AC69" s="2">
        <f t="shared" si="23"/>
        <v>0</v>
      </c>
      <c r="AD69" s="2">
        <f t="shared" si="24"/>
        <v>0</v>
      </c>
      <c r="AE69" s="2">
        <f t="shared" si="25"/>
        <v>0</v>
      </c>
      <c r="AF69" s="2">
        <f t="shared" si="26"/>
        <v>0</v>
      </c>
      <c r="AG69" s="2">
        <f t="shared" si="27"/>
        <v>0</v>
      </c>
      <c r="AH69" s="2">
        <f t="shared" si="28"/>
        <v>0</v>
      </c>
      <c r="AI69" s="1">
        <f t="shared" si="29"/>
        <v>391.68</v>
      </c>
      <c r="AJ69" s="1">
        <f t="shared" si="30"/>
        <v>0</v>
      </c>
      <c r="AK69" s="1" t="str">
        <f t="shared" si="31"/>
        <v/>
      </c>
      <c r="AL69" s="1" t="str">
        <f t="shared" si="32"/>
        <v/>
      </c>
      <c r="AM69" s="1" t="str">
        <f t="shared" si="17"/>
        <v/>
      </c>
      <c r="AN69" s="5">
        <f t="shared" si="18"/>
        <v>0</v>
      </c>
      <c r="AO69" s="1" t="str">
        <f t="shared" si="33"/>
        <v/>
      </c>
    </row>
    <row r="70" spans="1:41">
      <c r="A70" t="s">
        <v>308</v>
      </c>
      <c r="B70" t="s">
        <v>266</v>
      </c>
      <c r="C70" t="s">
        <v>311</v>
      </c>
      <c r="D70">
        <v>580</v>
      </c>
      <c r="E70">
        <v>100</v>
      </c>
      <c r="F70">
        <v>1</v>
      </c>
      <c r="G70">
        <v>6</v>
      </c>
      <c r="L70" t="s">
        <v>310</v>
      </c>
      <c r="M70" t="s">
        <v>300</v>
      </c>
      <c r="N70" t="s">
        <v>283</v>
      </c>
      <c r="O70">
        <v>0</v>
      </c>
      <c r="P70" t="s">
        <v>54</v>
      </c>
      <c r="Q70" t="s">
        <v>49</v>
      </c>
      <c r="R70">
        <v>3450</v>
      </c>
      <c r="S70" t="s">
        <v>300</v>
      </c>
      <c r="U70" t="s">
        <v>50</v>
      </c>
      <c r="V70" t="s">
        <v>51</v>
      </c>
      <c r="W70">
        <v>12279543</v>
      </c>
      <c r="X70" t="s">
        <v>301</v>
      </c>
      <c r="Y70">
        <f t="shared" si="19"/>
        <v>0.34799999999999998</v>
      </c>
      <c r="Z70">
        <f t="shared" si="20"/>
        <v>8.16</v>
      </c>
      <c r="AA70">
        <f t="shared" si="21"/>
        <v>0</v>
      </c>
      <c r="AB70" s="2">
        <f t="shared" si="22"/>
        <v>10</v>
      </c>
      <c r="AC70" s="2">
        <f t="shared" si="23"/>
        <v>0</v>
      </c>
      <c r="AD70" s="2">
        <f t="shared" si="24"/>
        <v>0</v>
      </c>
      <c r="AE70" s="2">
        <f t="shared" si="25"/>
        <v>0</v>
      </c>
      <c r="AF70" s="2">
        <f t="shared" si="26"/>
        <v>0</v>
      </c>
      <c r="AG70" s="2">
        <f t="shared" si="27"/>
        <v>0</v>
      </c>
      <c r="AH70" s="2">
        <f t="shared" si="28"/>
        <v>0</v>
      </c>
      <c r="AI70" s="1">
        <f t="shared" si="29"/>
        <v>293.76</v>
      </c>
      <c r="AJ70" s="1">
        <f t="shared" si="30"/>
        <v>0</v>
      </c>
      <c r="AK70" s="1" t="str">
        <f t="shared" si="31"/>
        <v/>
      </c>
      <c r="AL70" s="1" t="str">
        <f t="shared" si="32"/>
        <v/>
      </c>
      <c r="AM70" s="1" t="str">
        <f t="shared" si="17"/>
        <v/>
      </c>
      <c r="AN70" s="5">
        <f t="shared" si="18"/>
        <v>0</v>
      </c>
      <c r="AO70" s="1" t="str">
        <f t="shared" si="33"/>
        <v/>
      </c>
    </row>
    <row r="71" spans="1:41">
      <c r="A71" t="s">
        <v>308</v>
      </c>
      <c r="B71" t="s">
        <v>266</v>
      </c>
      <c r="C71" t="s">
        <v>311</v>
      </c>
      <c r="D71">
        <v>580</v>
      </c>
      <c r="E71">
        <v>100</v>
      </c>
      <c r="F71">
        <v>1</v>
      </c>
      <c r="G71">
        <v>6</v>
      </c>
      <c r="L71" t="s">
        <v>310</v>
      </c>
      <c r="M71" t="s">
        <v>300</v>
      </c>
      <c r="N71" t="s">
        <v>283</v>
      </c>
      <c r="O71">
        <v>0</v>
      </c>
      <c r="P71" t="s">
        <v>54</v>
      </c>
      <c r="Q71" t="s">
        <v>49</v>
      </c>
      <c r="R71">
        <v>3450</v>
      </c>
      <c r="S71" t="s">
        <v>300</v>
      </c>
      <c r="U71" t="s">
        <v>50</v>
      </c>
      <c r="V71" t="s">
        <v>51</v>
      </c>
      <c r="W71">
        <v>12279646</v>
      </c>
      <c r="X71" t="s">
        <v>301</v>
      </c>
      <c r="Y71">
        <f t="shared" si="19"/>
        <v>0.34799999999999998</v>
      </c>
      <c r="Z71">
        <f t="shared" si="20"/>
        <v>8.16</v>
      </c>
      <c r="AA71">
        <f t="shared" si="21"/>
        <v>0</v>
      </c>
      <c r="AB71" s="2">
        <f t="shared" si="22"/>
        <v>10</v>
      </c>
      <c r="AC71" s="2">
        <f t="shared" si="23"/>
        <v>0</v>
      </c>
      <c r="AD71" s="2">
        <f t="shared" si="24"/>
        <v>0</v>
      </c>
      <c r="AE71" s="2">
        <f t="shared" si="25"/>
        <v>0</v>
      </c>
      <c r="AF71" s="2">
        <f t="shared" si="26"/>
        <v>0</v>
      </c>
      <c r="AG71" s="2">
        <f t="shared" si="27"/>
        <v>0</v>
      </c>
      <c r="AH71" s="2">
        <f t="shared" si="28"/>
        <v>0</v>
      </c>
      <c r="AI71" s="1">
        <f t="shared" si="29"/>
        <v>293.76</v>
      </c>
      <c r="AJ71" s="1">
        <f t="shared" si="30"/>
        <v>0</v>
      </c>
      <c r="AK71" s="1" t="str">
        <f t="shared" si="31"/>
        <v/>
      </c>
      <c r="AL71" s="1" t="str">
        <f t="shared" si="32"/>
        <v/>
      </c>
      <c r="AM71" s="1" t="str">
        <f t="shared" si="17"/>
        <v/>
      </c>
      <c r="AN71" s="5">
        <f t="shared" si="18"/>
        <v>0</v>
      </c>
      <c r="AO71" s="1" t="str">
        <f t="shared" si="33"/>
        <v/>
      </c>
    </row>
    <row r="72" spans="1:41">
      <c r="A72" t="s">
        <v>312</v>
      </c>
      <c r="B72" t="s">
        <v>266</v>
      </c>
      <c r="C72" t="s">
        <v>313</v>
      </c>
      <c r="D72">
        <v>1187</v>
      </c>
      <c r="E72">
        <v>100</v>
      </c>
      <c r="F72">
        <v>1</v>
      </c>
      <c r="G72">
        <v>8</v>
      </c>
      <c r="L72" t="s">
        <v>314</v>
      </c>
      <c r="M72" t="s">
        <v>306</v>
      </c>
      <c r="N72" t="s">
        <v>283</v>
      </c>
      <c r="O72">
        <v>0</v>
      </c>
      <c r="P72" t="s">
        <v>48</v>
      </c>
      <c r="Q72" t="s">
        <v>49</v>
      </c>
      <c r="R72">
        <v>3450</v>
      </c>
      <c r="S72" t="s">
        <v>306</v>
      </c>
      <c r="U72" t="s">
        <v>50</v>
      </c>
      <c r="V72" t="s">
        <v>51</v>
      </c>
      <c r="W72">
        <v>12279445</v>
      </c>
      <c r="X72" t="s">
        <v>301</v>
      </c>
      <c r="Y72">
        <f t="shared" si="19"/>
        <v>0.9496</v>
      </c>
      <c r="Z72">
        <f t="shared" si="20"/>
        <v>20.591999999999999</v>
      </c>
      <c r="AA72">
        <f t="shared" si="21"/>
        <v>0</v>
      </c>
      <c r="AB72" s="2">
        <f t="shared" si="22"/>
        <v>13</v>
      </c>
      <c r="AC72" s="2">
        <f t="shared" si="23"/>
        <v>0</v>
      </c>
      <c r="AD72" s="2">
        <f t="shared" si="24"/>
        <v>0</v>
      </c>
      <c r="AE72" s="2">
        <f t="shared" si="25"/>
        <v>0</v>
      </c>
      <c r="AF72" s="2">
        <f t="shared" si="26"/>
        <v>10</v>
      </c>
      <c r="AG72" s="2">
        <f t="shared" si="27"/>
        <v>0</v>
      </c>
      <c r="AH72" s="2">
        <f t="shared" si="28"/>
        <v>0</v>
      </c>
      <c r="AI72" s="1">
        <f t="shared" si="29"/>
        <v>741.3119999999999</v>
      </c>
      <c r="AJ72" s="1">
        <f t="shared" si="30"/>
        <v>0</v>
      </c>
      <c r="AK72" s="1" t="str">
        <f t="shared" si="31"/>
        <v/>
      </c>
      <c r="AL72" s="1" t="str">
        <f t="shared" si="32"/>
        <v/>
      </c>
      <c r="AM72" s="1">
        <f t="shared" si="17"/>
        <v>1040</v>
      </c>
      <c r="AN72" s="5">
        <f t="shared" si="18"/>
        <v>0</v>
      </c>
      <c r="AO72" s="1" t="str">
        <f t="shared" si="33"/>
        <v/>
      </c>
    </row>
    <row r="73" spans="1:41">
      <c r="A73" t="s">
        <v>312</v>
      </c>
      <c r="B73" t="s">
        <v>266</v>
      </c>
      <c r="C73" t="s">
        <v>315</v>
      </c>
      <c r="D73">
        <v>1187</v>
      </c>
      <c r="E73">
        <v>100</v>
      </c>
      <c r="F73">
        <v>1</v>
      </c>
      <c r="G73">
        <v>6</v>
      </c>
      <c r="L73" t="s">
        <v>314</v>
      </c>
      <c r="M73" t="s">
        <v>306</v>
      </c>
      <c r="N73" t="s">
        <v>283</v>
      </c>
      <c r="O73">
        <v>0</v>
      </c>
      <c r="P73" t="s">
        <v>54</v>
      </c>
      <c r="Q73" t="s">
        <v>49</v>
      </c>
      <c r="R73">
        <v>3450</v>
      </c>
      <c r="S73" t="s">
        <v>306</v>
      </c>
      <c r="U73" t="s">
        <v>50</v>
      </c>
      <c r="V73" t="s">
        <v>51</v>
      </c>
      <c r="W73">
        <v>12279545</v>
      </c>
      <c r="X73" t="s">
        <v>301</v>
      </c>
      <c r="Y73">
        <f t="shared" si="19"/>
        <v>0.71220000000000006</v>
      </c>
      <c r="Z73">
        <f t="shared" si="20"/>
        <v>15.443999999999999</v>
      </c>
      <c r="AA73">
        <f t="shared" si="21"/>
        <v>0</v>
      </c>
      <c r="AB73" s="2">
        <f t="shared" si="22"/>
        <v>13</v>
      </c>
      <c r="AC73" s="2">
        <f t="shared" si="23"/>
        <v>0</v>
      </c>
      <c r="AD73" s="2">
        <f t="shared" si="24"/>
        <v>0</v>
      </c>
      <c r="AE73" s="2">
        <f t="shared" si="25"/>
        <v>0</v>
      </c>
      <c r="AF73" s="2">
        <f t="shared" si="26"/>
        <v>10</v>
      </c>
      <c r="AG73" s="2">
        <f t="shared" si="27"/>
        <v>0</v>
      </c>
      <c r="AH73" s="2">
        <f t="shared" si="28"/>
        <v>0</v>
      </c>
      <c r="AI73" s="1">
        <f t="shared" si="29"/>
        <v>555.98399999999992</v>
      </c>
      <c r="AJ73" s="1">
        <f t="shared" si="30"/>
        <v>0</v>
      </c>
      <c r="AK73" s="1" t="str">
        <f t="shared" si="31"/>
        <v/>
      </c>
      <c r="AL73" s="1" t="str">
        <f t="shared" si="32"/>
        <v/>
      </c>
      <c r="AM73" s="1">
        <f t="shared" si="17"/>
        <v>780</v>
      </c>
      <c r="AN73" s="5">
        <f t="shared" si="18"/>
        <v>0</v>
      </c>
      <c r="AO73" s="1" t="str">
        <f t="shared" si="33"/>
        <v/>
      </c>
    </row>
    <row r="74" spans="1:41">
      <c r="A74" t="s">
        <v>312</v>
      </c>
      <c r="B74" t="s">
        <v>266</v>
      </c>
      <c r="C74" t="s">
        <v>315</v>
      </c>
      <c r="D74">
        <v>1187</v>
      </c>
      <c r="E74">
        <v>100</v>
      </c>
      <c r="F74">
        <v>1</v>
      </c>
      <c r="G74">
        <v>6</v>
      </c>
      <c r="L74" t="s">
        <v>314</v>
      </c>
      <c r="M74" t="s">
        <v>306</v>
      </c>
      <c r="N74" t="s">
        <v>283</v>
      </c>
      <c r="O74">
        <v>0</v>
      </c>
      <c r="P74" t="s">
        <v>54</v>
      </c>
      <c r="Q74" t="s">
        <v>49</v>
      </c>
      <c r="R74">
        <v>3450</v>
      </c>
      <c r="S74" t="s">
        <v>306</v>
      </c>
      <c r="U74" t="s">
        <v>50</v>
      </c>
      <c r="V74" t="s">
        <v>51</v>
      </c>
      <c r="W74">
        <v>12279648</v>
      </c>
      <c r="X74" t="s">
        <v>301</v>
      </c>
      <c r="Y74">
        <f t="shared" si="19"/>
        <v>0.71220000000000006</v>
      </c>
      <c r="Z74">
        <f t="shared" si="20"/>
        <v>15.443999999999999</v>
      </c>
      <c r="AA74">
        <f t="shared" si="21"/>
        <v>0</v>
      </c>
      <c r="AB74" s="2">
        <f t="shared" si="22"/>
        <v>13</v>
      </c>
      <c r="AC74" s="2">
        <f t="shared" si="23"/>
        <v>0</v>
      </c>
      <c r="AD74" s="2">
        <f t="shared" si="24"/>
        <v>0</v>
      </c>
      <c r="AE74" s="2">
        <f t="shared" si="25"/>
        <v>0</v>
      </c>
      <c r="AF74" s="2">
        <f t="shared" si="26"/>
        <v>10</v>
      </c>
      <c r="AG74" s="2">
        <f t="shared" si="27"/>
        <v>0</v>
      </c>
      <c r="AH74" s="2">
        <f t="shared" si="28"/>
        <v>0</v>
      </c>
      <c r="AI74" s="1">
        <f t="shared" si="29"/>
        <v>555.98399999999992</v>
      </c>
      <c r="AJ74" s="1">
        <f t="shared" si="30"/>
        <v>0</v>
      </c>
      <c r="AK74" s="1" t="str">
        <f t="shared" si="31"/>
        <v/>
      </c>
      <c r="AL74" s="1" t="str">
        <f t="shared" si="32"/>
        <v/>
      </c>
      <c r="AM74" s="1">
        <f t="shared" si="17"/>
        <v>780</v>
      </c>
      <c r="AN74" s="5">
        <f t="shared" si="18"/>
        <v>0</v>
      </c>
      <c r="AO74" s="1" t="str">
        <f t="shared" si="33"/>
        <v/>
      </c>
    </row>
    <row r="75" spans="1:41">
      <c r="A75" t="s">
        <v>316</v>
      </c>
      <c r="B75" t="s">
        <v>266</v>
      </c>
      <c r="C75" t="s">
        <v>317</v>
      </c>
      <c r="D75">
        <v>580</v>
      </c>
      <c r="E75">
        <v>100</v>
      </c>
      <c r="F75">
        <v>1</v>
      </c>
      <c r="G75">
        <v>56</v>
      </c>
      <c r="L75" t="s">
        <v>318</v>
      </c>
      <c r="M75" t="s">
        <v>319</v>
      </c>
      <c r="N75" t="s">
        <v>283</v>
      </c>
      <c r="O75">
        <v>0</v>
      </c>
      <c r="P75" t="s">
        <v>48</v>
      </c>
      <c r="Q75" t="s">
        <v>49</v>
      </c>
      <c r="R75">
        <v>3450</v>
      </c>
      <c r="S75" t="s">
        <v>319</v>
      </c>
      <c r="U75" t="s">
        <v>50</v>
      </c>
      <c r="V75" t="s">
        <v>51</v>
      </c>
      <c r="W75">
        <v>12279447</v>
      </c>
      <c r="X75" t="s">
        <v>301</v>
      </c>
      <c r="Y75">
        <f t="shared" si="19"/>
        <v>3.2480000000000002</v>
      </c>
      <c r="Z75">
        <f t="shared" si="20"/>
        <v>76.160000000000011</v>
      </c>
      <c r="AA75">
        <f t="shared" si="21"/>
        <v>0</v>
      </c>
      <c r="AB75" s="2">
        <f t="shared" si="22"/>
        <v>10</v>
      </c>
      <c r="AC75" s="2">
        <f t="shared" si="23"/>
        <v>0</v>
      </c>
      <c r="AD75" s="2">
        <f t="shared" si="24"/>
        <v>0</v>
      </c>
      <c r="AE75" s="2">
        <f t="shared" si="25"/>
        <v>0</v>
      </c>
      <c r="AF75" s="2">
        <f t="shared" si="26"/>
        <v>0</v>
      </c>
      <c r="AG75" s="2">
        <f t="shared" si="27"/>
        <v>0</v>
      </c>
      <c r="AH75" s="2">
        <f t="shared" si="28"/>
        <v>0</v>
      </c>
      <c r="AI75" s="1">
        <f t="shared" si="29"/>
        <v>2741.76</v>
      </c>
      <c r="AJ75" s="1">
        <f t="shared" si="30"/>
        <v>0</v>
      </c>
      <c r="AK75" s="1" t="str">
        <f t="shared" si="31"/>
        <v/>
      </c>
      <c r="AL75" s="1" t="str">
        <f t="shared" si="32"/>
        <v/>
      </c>
      <c r="AM75" s="1" t="str">
        <f t="shared" si="17"/>
        <v/>
      </c>
      <c r="AN75" s="5">
        <f t="shared" si="18"/>
        <v>0</v>
      </c>
      <c r="AO75" s="1" t="str">
        <f t="shared" si="33"/>
        <v/>
      </c>
    </row>
    <row r="76" spans="1:41">
      <c r="A76" t="s">
        <v>316</v>
      </c>
      <c r="B76" t="s">
        <v>266</v>
      </c>
      <c r="C76" t="s">
        <v>320</v>
      </c>
      <c r="D76">
        <v>580</v>
      </c>
      <c r="E76">
        <v>100</v>
      </c>
      <c r="F76">
        <v>1</v>
      </c>
      <c r="G76">
        <v>42</v>
      </c>
      <c r="L76" t="s">
        <v>318</v>
      </c>
      <c r="M76" t="s">
        <v>319</v>
      </c>
      <c r="N76" t="s">
        <v>283</v>
      </c>
      <c r="O76">
        <v>0</v>
      </c>
      <c r="P76" t="s">
        <v>54</v>
      </c>
      <c r="Q76" t="s">
        <v>49</v>
      </c>
      <c r="R76">
        <v>3450</v>
      </c>
      <c r="S76" t="s">
        <v>319</v>
      </c>
      <c r="U76" t="s">
        <v>50</v>
      </c>
      <c r="V76" t="s">
        <v>51</v>
      </c>
      <c r="W76">
        <v>12279547</v>
      </c>
      <c r="X76" t="s">
        <v>301</v>
      </c>
      <c r="Y76">
        <f t="shared" si="19"/>
        <v>2.4359999999999999</v>
      </c>
      <c r="Z76">
        <f t="shared" si="20"/>
        <v>57.120000000000005</v>
      </c>
      <c r="AA76">
        <f t="shared" si="21"/>
        <v>0</v>
      </c>
      <c r="AB76" s="2">
        <f t="shared" si="22"/>
        <v>10</v>
      </c>
      <c r="AC76" s="2">
        <f t="shared" si="23"/>
        <v>0</v>
      </c>
      <c r="AD76" s="2">
        <f t="shared" si="24"/>
        <v>0</v>
      </c>
      <c r="AE76" s="2">
        <f t="shared" si="25"/>
        <v>0</v>
      </c>
      <c r="AF76" s="2">
        <f t="shared" si="26"/>
        <v>0</v>
      </c>
      <c r="AG76" s="2">
        <f t="shared" si="27"/>
        <v>0</v>
      </c>
      <c r="AH76" s="2">
        <f t="shared" si="28"/>
        <v>0</v>
      </c>
      <c r="AI76" s="1">
        <f t="shared" si="29"/>
        <v>2056.3200000000002</v>
      </c>
      <c r="AJ76" s="1">
        <f t="shared" si="30"/>
        <v>0</v>
      </c>
      <c r="AK76" s="1" t="str">
        <f t="shared" si="31"/>
        <v/>
      </c>
      <c r="AL76" s="1" t="str">
        <f t="shared" si="32"/>
        <v/>
      </c>
      <c r="AM76" s="1" t="str">
        <f t="shared" si="17"/>
        <v/>
      </c>
      <c r="AN76" s="5">
        <f t="shared" si="18"/>
        <v>0</v>
      </c>
      <c r="AO76" s="1" t="str">
        <f t="shared" si="33"/>
        <v/>
      </c>
    </row>
    <row r="77" spans="1:41">
      <c r="A77" t="s">
        <v>316</v>
      </c>
      <c r="B77" t="s">
        <v>266</v>
      </c>
      <c r="C77" t="s">
        <v>320</v>
      </c>
      <c r="D77">
        <v>580</v>
      </c>
      <c r="E77">
        <v>100</v>
      </c>
      <c r="F77">
        <v>1</v>
      </c>
      <c r="G77">
        <v>42</v>
      </c>
      <c r="L77" t="s">
        <v>318</v>
      </c>
      <c r="M77" t="s">
        <v>319</v>
      </c>
      <c r="N77" t="s">
        <v>283</v>
      </c>
      <c r="O77">
        <v>0</v>
      </c>
      <c r="P77" t="s">
        <v>54</v>
      </c>
      <c r="Q77" t="s">
        <v>49</v>
      </c>
      <c r="R77">
        <v>3450</v>
      </c>
      <c r="S77" t="s">
        <v>319</v>
      </c>
      <c r="U77" t="s">
        <v>50</v>
      </c>
      <c r="V77" t="s">
        <v>51</v>
      </c>
      <c r="W77">
        <v>12279650</v>
      </c>
      <c r="X77" t="s">
        <v>301</v>
      </c>
      <c r="Y77">
        <f t="shared" si="19"/>
        <v>2.4359999999999999</v>
      </c>
      <c r="Z77">
        <f t="shared" si="20"/>
        <v>57.120000000000005</v>
      </c>
      <c r="AA77">
        <f t="shared" si="21"/>
        <v>0</v>
      </c>
      <c r="AB77" s="2">
        <f t="shared" si="22"/>
        <v>10</v>
      </c>
      <c r="AC77" s="2">
        <f t="shared" si="23"/>
        <v>0</v>
      </c>
      <c r="AD77" s="2">
        <f t="shared" si="24"/>
        <v>0</v>
      </c>
      <c r="AE77" s="2">
        <f t="shared" si="25"/>
        <v>0</v>
      </c>
      <c r="AF77" s="2">
        <f t="shared" si="26"/>
        <v>0</v>
      </c>
      <c r="AG77" s="2">
        <f t="shared" si="27"/>
        <v>0</v>
      </c>
      <c r="AH77" s="2">
        <f t="shared" si="28"/>
        <v>0</v>
      </c>
      <c r="AI77" s="1">
        <f t="shared" si="29"/>
        <v>2056.3200000000002</v>
      </c>
      <c r="AJ77" s="1">
        <f t="shared" si="30"/>
        <v>0</v>
      </c>
      <c r="AK77" s="1" t="str">
        <f t="shared" si="31"/>
        <v/>
      </c>
      <c r="AL77" s="1" t="str">
        <f t="shared" si="32"/>
        <v/>
      </c>
      <c r="AM77" s="1" t="str">
        <f t="shared" si="17"/>
        <v/>
      </c>
      <c r="AN77" s="5">
        <f t="shared" si="18"/>
        <v>0</v>
      </c>
      <c r="AO77" s="1" t="str">
        <f t="shared" si="33"/>
        <v/>
      </c>
    </row>
    <row r="78" spans="1:41">
      <c r="A78" t="s">
        <v>321</v>
      </c>
      <c r="B78" t="s">
        <v>266</v>
      </c>
      <c r="C78" t="s">
        <v>322</v>
      </c>
      <c r="D78">
        <v>980</v>
      </c>
      <c r="E78">
        <v>350</v>
      </c>
      <c r="F78">
        <v>1</v>
      </c>
      <c r="G78">
        <v>5</v>
      </c>
      <c r="L78" t="s">
        <v>323</v>
      </c>
      <c r="M78" t="s">
        <v>324</v>
      </c>
      <c r="N78" t="s">
        <v>283</v>
      </c>
      <c r="O78">
        <v>0</v>
      </c>
      <c r="P78" t="s">
        <v>325</v>
      </c>
      <c r="Q78" t="s">
        <v>326</v>
      </c>
      <c r="R78">
        <v>10568</v>
      </c>
      <c r="S78" t="s">
        <v>324</v>
      </c>
      <c r="U78" t="s">
        <v>83</v>
      </c>
      <c r="V78" t="s">
        <v>327</v>
      </c>
      <c r="W78">
        <v>12280388</v>
      </c>
      <c r="X78" t="s">
        <v>328</v>
      </c>
      <c r="Y78">
        <f t="shared" si="19"/>
        <v>1.7150000000000001</v>
      </c>
      <c r="Z78">
        <f t="shared" si="20"/>
        <v>13.3</v>
      </c>
      <c r="AA78">
        <f t="shared" si="21"/>
        <v>0</v>
      </c>
      <c r="AB78" s="2">
        <f t="shared" si="22"/>
        <v>16</v>
      </c>
      <c r="AC78" s="2">
        <f t="shared" si="23"/>
        <v>0</v>
      </c>
      <c r="AD78" s="2">
        <f t="shared" si="24"/>
        <v>0</v>
      </c>
      <c r="AE78" s="2">
        <f t="shared" si="25"/>
        <v>13</v>
      </c>
      <c r="AF78" s="2">
        <f t="shared" si="26"/>
        <v>0</v>
      </c>
      <c r="AG78" s="2">
        <f t="shared" si="27"/>
        <v>0</v>
      </c>
      <c r="AH78" s="2">
        <f t="shared" si="28"/>
        <v>0</v>
      </c>
      <c r="AI78" s="1">
        <f t="shared" si="29"/>
        <v>478.8</v>
      </c>
      <c r="AJ78" s="1">
        <f t="shared" si="30"/>
        <v>0</v>
      </c>
      <c r="AK78" s="1" t="str">
        <f t="shared" si="31"/>
        <v/>
      </c>
      <c r="AL78" s="1">
        <f t="shared" si="32"/>
        <v>1200</v>
      </c>
      <c r="AM78" s="1" t="str">
        <f t="shared" si="17"/>
        <v/>
      </c>
      <c r="AN78" s="5">
        <f t="shared" si="18"/>
        <v>0</v>
      </c>
      <c r="AO78" s="1" t="str">
        <f t="shared" si="33"/>
        <v/>
      </c>
    </row>
    <row r="79" spans="1:41">
      <c r="A79" t="s">
        <v>329</v>
      </c>
      <c r="B79" t="s">
        <v>266</v>
      </c>
      <c r="C79" t="s">
        <v>330</v>
      </c>
      <c r="D79">
        <v>570</v>
      </c>
      <c r="E79">
        <v>570</v>
      </c>
      <c r="F79">
        <v>1</v>
      </c>
      <c r="G79">
        <v>4</v>
      </c>
      <c r="L79" t="s">
        <v>331</v>
      </c>
      <c r="M79" t="s">
        <v>332</v>
      </c>
      <c r="N79" t="s">
        <v>283</v>
      </c>
      <c r="O79">
        <v>0</v>
      </c>
      <c r="P79" t="s">
        <v>48</v>
      </c>
      <c r="Q79" t="s">
        <v>49</v>
      </c>
      <c r="R79">
        <v>3450</v>
      </c>
      <c r="S79" t="s">
        <v>332</v>
      </c>
      <c r="U79" t="s">
        <v>50</v>
      </c>
      <c r="V79" t="s">
        <v>51</v>
      </c>
      <c r="W79">
        <v>12279369</v>
      </c>
      <c r="X79" t="s">
        <v>333</v>
      </c>
      <c r="Y79">
        <f t="shared" si="19"/>
        <v>1.2996000000000001</v>
      </c>
      <c r="Z79">
        <f t="shared" si="20"/>
        <v>9.1199999999999992</v>
      </c>
      <c r="AA79">
        <f t="shared" si="21"/>
        <v>0</v>
      </c>
      <c r="AB79" s="2">
        <f t="shared" si="22"/>
        <v>10</v>
      </c>
      <c r="AC79" s="2">
        <f t="shared" si="23"/>
        <v>0</v>
      </c>
      <c r="AD79" s="2">
        <f t="shared" si="24"/>
        <v>0</v>
      </c>
      <c r="AE79" s="2">
        <f t="shared" si="25"/>
        <v>0</v>
      </c>
      <c r="AF79" s="2">
        <f t="shared" si="26"/>
        <v>0</v>
      </c>
      <c r="AG79" s="2">
        <f t="shared" si="27"/>
        <v>0</v>
      </c>
      <c r="AH79" s="2">
        <f t="shared" si="28"/>
        <v>0</v>
      </c>
      <c r="AI79" s="1">
        <f t="shared" si="29"/>
        <v>328.32</v>
      </c>
      <c r="AJ79" s="1">
        <f t="shared" si="30"/>
        <v>0</v>
      </c>
      <c r="AK79" s="1" t="str">
        <f t="shared" si="31"/>
        <v/>
      </c>
      <c r="AL79" s="1" t="str">
        <f t="shared" si="32"/>
        <v/>
      </c>
      <c r="AM79" s="1" t="str">
        <f t="shared" si="17"/>
        <v/>
      </c>
      <c r="AN79" s="5">
        <f t="shared" si="18"/>
        <v>0</v>
      </c>
      <c r="AO79" s="1" t="str">
        <f t="shared" si="33"/>
        <v/>
      </c>
    </row>
    <row r="80" spans="1:41">
      <c r="A80" t="s">
        <v>329</v>
      </c>
      <c r="B80" t="s">
        <v>266</v>
      </c>
      <c r="C80" t="s">
        <v>334</v>
      </c>
      <c r="D80">
        <v>570</v>
      </c>
      <c r="E80">
        <v>570</v>
      </c>
      <c r="F80">
        <v>1</v>
      </c>
      <c r="G80">
        <v>2</v>
      </c>
      <c r="L80" t="s">
        <v>331</v>
      </c>
      <c r="M80" t="s">
        <v>332</v>
      </c>
      <c r="N80" t="s">
        <v>283</v>
      </c>
      <c r="O80">
        <v>0</v>
      </c>
      <c r="P80" t="s">
        <v>54</v>
      </c>
      <c r="Q80" t="s">
        <v>49</v>
      </c>
      <c r="R80">
        <v>3450</v>
      </c>
      <c r="S80" t="s">
        <v>332</v>
      </c>
      <c r="U80" t="s">
        <v>50</v>
      </c>
      <c r="V80" t="s">
        <v>51</v>
      </c>
      <c r="W80">
        <v>12279472</v>
      </c>
      <c r="X80" t="s">
        <v>333</v>
      </c>
      <c r="Y80">
        <f t="shared" si="19"/>
        <v>0.64980000000000004</v>
      </c>
      <c r="Z80">
        <f t="shared" si="20"/>
        <v>4.5599999999999996</v>
      </c>
      <c r="AA80">
        <f t="shared" si="21"/>
        <v>0</v>
      </c>
      <c r="AB80" s="2">
        <f t="shared" si="22"/>
        <v>10</v>
      </c>
      <c r="AC80" s="2">
        <f t="shared" si="23"/>
        <v>0</v>
      </c>
      <c r="AD80" s="2">
        <f t="shared" si="24"/>
        <v>0</v>
      </c>
      <c r="AE80" s="2">
        <f t="shared" si="25"/>
        <v>0</v>
      </c>
      <c r="AF80" s="2">
        <f t="shared" si="26"/>
        <v>0</v>
      </c>
      <c r="AG80" s="2">
        <f t="shared" si="27"/>
        <v>0</v>
      </c>
      <c r="AH80" s="2">
        <f t="shared" si="28"/>
        <v>0</v>
      </c>
      <c r="AI80" s="1">
        <f t="shared" si="29"/>
        <v>164.16</v>
      </c>
      <c r="AJ80" s="1">
        <f t="shared" si="30"/>
        <v>0</v>
      </c>
      <c r="AK80" s="1" t="str">
        <f t="shared" si="31"/>
        <v/>
      </c>
      <c r="AL80" s="1" t="str">
        <f t="shared" si="32"/>
        <v/>
      </c>
      <c r="AM80" s="1" t="str">
        <f t="shared" si="17"/>
        <v/>
      </c>
      <c r="AN80" s="5">
        <f t="shared" si="18"/>
        <v>0</v>
      </c>
      <c r="AO80" s="1" t="str">
        <f t="shared" si="33"/>
        <v/>
      </c>
    </row>
    <row r="81" spans="1:41">
      <c r="A81" t="s">
        <v>329</v>
      </c>
      <c r="B81" t="s">
        <v>266</v>
      </c>
      <c r="C81" t="s">
        <v>334</v>
      </c>
      <c r="D81">
        <v>570</v>
      </c>
      <c r="E81">
        <v>570</v>
      </c>
      <c r="F81">
        <v>1</v>
      </c>
      <c r="G81">
        <v>2</v>
      </c>
      <c r="L81" t="s">
        <v>331</v>
      </c>
      <c r="M81" t="s">
        <v>332</v>
      </c>
      <c r="N81" t="s">
        <v>283</v>
      </c>
      <c r="O81">
        <v>0</v>
      </c>
      <c r="P81" t="s">
        <v>54</v>
      </c>
      <c r="Q81" t="s">
        <v>49</v>
      </c>
      <c r="R81">
        <v>3450</v>
      </c>
      <c r="S81" t="s">
        <v>332</v>
      </c>
      <c r="U81" t="s">
        <v>50</v>
      </c>
      <c r="V81" t="s">
        <v>51</v>
      </c>
      <c r="W81">
        <v>12279575</v>
      </c>
      <c r="X81" t="s">
        <v>333</v>
      </c>
      <c r="Y81">
        <f t="shared" si="19"/>
        <v>0.64980000000000004</v>
      </c>
      <c r="Z81">
        <f t="shared" si="20"/>
        <v>4.5599999999999996</v>
      </c>
      <c r="AA81">
        <f t="shared" si="21"/>
        <v>0</v>
      </c>
      <c r="AB81" s="2">
        <f t="shared" si="22"/>
        <v>10</v>
      </c>
      <c r="AC81" s="2">
        <f t="shared" si="23"/>
        <v>0</v>
      </c>
      <c r="AD81" s="2">
        <f t="shared" si="24"/>
        <v>0</v>
      </c>
      <c r="AE81" s="2">
        <f t="shared" si="25"/>
        <v>0</v>
      </c>
      <c r="AF81" s="2">
        <f t="shared" si="26"/>
        <v>0</v>
      </c>
      <c r="AG81" s="2">
        <f t="shared" si="27"/>
        <v>0</v>
      </c>
      <c r="AH81" s="2">
        <f t="shared" si="28"/>
        <v>0</v>
      </c>
      <c r="AI81" s="1">
        <f t="shared" si="29"/>
        <v>164.16</v>
      </c>
      <c r="AJ81" s="1">
        <f t="shared" si="30"/>
        <v>0</v>
      </c>
      <c r="AK81" s="1" t="str">
        <f t="shared" si="31"/>
        <v/>
      </c>
      <c r="AL81" s="1" t="str">
        <f t="shared" si="32"/>
        <v/>
      </c>
      <c r="AM81" s="1" t="str">
        <f t="shared" si="17"/>
        <v/>
      </c>
      <c r="AN81" s="5">
        <f t="shared" si="18"/>
        <v>0</v>
      </c>
      <c r="AO81" s="1" t="str">
        <f t="shared" si="33"/>
        <v/>
      </c>
    </row>
    <row r="82" spans="1:41">
      <c r="A82" t="s">
        <v>335</v>
      </c>
      <c r="B82" t="s">
        <v>266</v>
      </c>
      <c r="C82" t="s">
        <v>336</v>
      </c>
      <c r="D82">
        <v>570</v>
      </c>
      <c r="E82">
        <v>307</v>
      </c>
      <c r="F82">
        <v>1</v>
      </c>
      <c r="G82">
        <v>8</v>
      </c>
      <c r="L82" t="s">
        <v>337</v>
      </c>
      <c r="M82" t="s">
        <v>338</v>
      </c>
      <c r="N82" t="s">
        <v>283</v>
      </c>
      <c r="O82">
        <v>0</v>
      </c>
      <c r="P82" t="s">
        <v>48</v>
      </c>
      <c r="Q82" t="s">
        <v>49</v>
      </c>
      <c r="R82">
        <v>3450</v>
      </c>
      <c r="S82" t="s">
        <v>338</v>
      </c>
      <c r="U82" t="s">
        <v>50</v>
      </c>
      <c r="V82" t="s">
        <v>51</v>
      </c>
      <c r="W82">
        <v>12279367</v>
      </c>
      <c r="X82" t="s">
        <v>333</v>
      </c>
      <c r="Y82">
        <f t="shared" si="19"/>
        <v>1.3999200000000001</v>
      </c>
      <c r="Z82">
        <f t="shared" si="20"/>
        <v>14.032</v>
      </c>
      <c r="AA82">
        <f t="shared" si="21"/>
        <v>0</v>
      </c>
      <c r="AB82" s="2">
        <f t="shared" si="22"/>
        <v>10</v>
      </c>
      <c r="AC82" s="2">
        <f t="shared" si="23"/>
        <v>0</v>
      </c>
      <c r="AD82" s="2">
        <f t="shared" si="24"/>
        <v>0</v>
      </c>
      <c r="AE82" s="2">
        <f t="shared" si="25"/>
        <v>0</v>
      </c>
      <c r="AF82" s="2">
        <f t="shared" si="26"/>
        <v>0</v>
      </c>
      <c r="AG82" s="2">
        <f t="shared" si="27"/>
        <v>0</v>
      </c>
      <c r="AH82" s="2">
        <f t="shared" si="28"/>
        <v>0</v>
      </c>
      <c r="AI82" s="1">
        <f t="shared" si="29"/>
        <v>505.15199999999999</v>
      </c>
      <c r="AJ82" s="1">
        <f t="shared" si="30"/>
        <v>0</v>
      </c>
      <c r="AK82" s="1" t="str">
        <f t="shared" si="31"/>
        <v/>
      </c>
      <c r="AL82" s="1" t="str">
        <f t="shared" si="32"/>
        <v/>
      </c>
      <c r="AM82" s="1" t="str">
        <f t="shared" si="17"/>
        <v/>
      </c>
      <c r="AN82" s="5">
        <f t="shared" si="18"/>
        <v>0</v>
      </c>
      <c r="AO82" s="1" t="str">
        <f t="shared" si="33"/>
        <v/>
      </c>
    </row>
    <row r="83" spans="1:41">
      <c r="A83" t="s">
        <v>335</v>
      </c>
      <c r="B83" t="s">
        <v>266</v>
      </c>
      <c r="C83" t="s">
        <v>339</v>
      </c>
      <c r="D83">
        <v>570</v>
      </c>
      <c r="E83">
        <v>307</v>
      </c>
      <c r="F83">
        <v>1</v>
      </c>
      <c r="G83">
        <v>4</v>
      </c>
      <c r="L83" t="s">
        <v>337</v>
      </c>
      <c r="M83" t="s">
        <v>338</v>
      </c>
      <c r="N83" t="s">
        <v>283</v>
      </c>
      <c r="O83">
        <v>0</v>
      </c>
      <c r="P83" t="s">
        <v>54</v>
      </c>
      <c r="Q83" t="s">
        <v>49</v>
      </c>
      <c r="R83">
        <v>3450</v>
      </c>
      <c r="S83" t="s">
        <v>338</v>
      </c>
      <c r="U83" t="s">
        <v>50</v>
      </c>
      <c r="V83" t="s">
        <v>51</v>
      </c>
      <c r="W83">
        <v>12279470</v>
      </c>
      <c r="X83" t="s">
        <v>333</v>
      </c>
      <c r="Y83">
        <f t="shared" si="19"/>
        <v>0.69996000000000003</v>
      </c>
      <c r="Z83">
        <f t="shared" si="20"/>
        <v>7.016</v>
      </c>
      <c r="AA83">
        <f t="shared" si="21"/>
        <v>0</v>
      </c>
      <c r="AB83" s="2">
        <f t="shared" si="22"/>
        <v>10</v>
      </c>
      <c r="AC83" s="2">
        <f t="shared" si="23"/>
        <v>0</v>
      </c>
      <c r="AD83" s="2">
        <f t="shared" si="24"/>
        <v>0</v>
      </c>
      <c r="AE83" s="2">
        <f t="shared" si="25"/>
        <v>0</v>
      </c>
      <c r="AF83" s="2">
        <f t="shared" si="26"/>
        <v>0</v>
      </c>
      <c r="AG83" s="2">
        <f t="shared" si="27"/>
        <v>0</v>
      </c>
      <c r="AH83" s="2">
        <f t="shared" si="28"/>
        <v>0</v>
      </c>
      <c r="AI83" s="1">
        <f t="shared" si="29"/>
        <v>252.57599999999999</v>
      </c>
      <c r="AJ83" s="1">
        <f t="shared" si="30"/>
        <v>0</v>
      </c>
      <c r="AK83" s="1" t="str">
        <f t="shared" si="31"/>
        <v/>
      </c>
      <c r="AL83" s="1" t="str">
        <f t="shared" si="32"/>
        <v/>
      </c>
      <c r="AM83" s="1" t="str">
        <f t="shared" si="17"/>
        <v/>
      </c>
      <c r="AN83" s="5">
        <f t="shared" si="18"/>
        <v>0</v>
      </c>
      <c r="AO83" s="1" t="str">
        <f t="shared" si="33"/>
        <v/>
      </c>
    </row>
    <row r="84" spans="1:41">
      <c r="A84" t="s">
        <v>335</v>
      </c>
      <c r="B84" t="s">
        <v>266</v>
      </c>
      <c r="C84" t="s">
        <v>339</v>
      </c>
      <c r="D84">
        <v>570</v>
      </c>
      <c r="E84">
        <v>307</v>
      </c>
      <c r="F84">
        <v>1</v>
      </c>
      <c r="G84">
        <v>4</v>
      </c>
      <c r="L84" t="s">
        <v>337</v>
      </c>
      <c r="M84" t="s">
        <v>338</v>
      </c>
      <c r="N84" t="s">
        <v>283</v>
      </c>
      <c r="O84">
        <v>0</v>
      </c>
      <c r="P84" t="s">
        <v>54</v>
      </c>
      <c r="Q84" t="s">
        <v>49</v>
      </c>
      <c r="R84">
        <v>3450</v>
      </c>
      <c r="S84" t="s">
        <v>338</v>
      </c>
      <c r="U84" t="s">
        <v>50</v>
      </c>
      <c r="V84" t="s">
        <v>51</v>
      </c>
      <c r="W84">
        <v>12279573</v>
      </c>
      <c r="X84" t="s">
        <v>333</v>
      </c>
      <c r="Y84">
        <f t="shared" si="19"/>
        <v>0.69996000000000003</v>
      </c>
      <c r="Z84">
        <f t="shared" si="20"/>
        <v>7.016</v>
      </c>
      <c r="AA84">
        <f t="shared" si="21"/>
        <v>0</v>
      </c>
      <c r="AB84" s="2">
        <f t="shared" si="22"/>
        <v>10</v>
      </c>
      <c r="AC84" s="2">
        <f t="shared" si="23"/>
        <v>0</v>
      </c>
      <c r="AD84" s="2">
        <f t="shared" si="24"/>
        <v>0</v>
      </c>
      <c r="AE84" s="2">
        <f t="shared" si="25"/>
        <v>0</v>
      </c>
      <c r="AF84" s="2">
        <f t="shared" si="26"/>
        <v>0</v>
      </c>
      <c r="AG84" s="2">
        <f t="shared" si="27"/>
        <v>0</v>
      </c>
      <c r="AH84" s="2">
        <f t="shared" si="28"/>
        <v>0</v>
      </c>
      <c r="AI84" s="1">
        <f t="shared" si="29"/>
        <v>252.57599999999999</v>
      </c>
      <c r="AJ84" s="1">
        <f t="shared" si="30"/>
        <v>0</v>
      </c>
      <c r="AK84" s="1" t="str">
        <f t="shared" si="31"/>
        <v/>
      </c>
      <c r="AL84" s="1" t="str">
        <f t="shared" si="32"/>
        <v/>
      </c>
      <c r="AM84" s="1" t="str">
        <f t="shared" si="17"/>
        <v/>
      </c>
      <c r="AN84" s="5">
        <f t="shared" si="18"/>
        <v>0</v>
      </c>
      <c r="AO84" s="1" t="str">
        <f t="shared" si="33"/>
        <v/>
      </c>
    </row>
    <row r="85" spans="1:41">
      <c r="A85" t="s">
        <v>340</v>
      </c>
      <c r="B85" t="s">
        <v>266</v>
      </c>
      <c r="C85" t="s">
        <v>341</v>
      </c>
      <c r="D85">
        <v>538</v>
      </c>
      <c r="E85">
        <v>307</v>
      </c>
      <c r="F85">
        <v>1</v>
      </c>
      <c r="G85">
        <v>8</v>
      </c>
      <c r="L85" t="s">
        <v>342</v>
      </c>
      <c r="M85" t="s">
        <v>343</v>
      </c>
      <c r="N85" t="s">
        <v>283</v>
      </c>
      <c r="O85">
        <v>0</v>
      </c>
      <c r="P85" t="s">
        <v>48</v>
      </c>
      <c r="Q85" t="s">
        <v>49</v>
      </c>
      <c r="R85">
        <v>3450</v>
      </c>
      <c r="S85" t="s">
        <v>343</v>
      </c>
      <c r="U85" t="s">
        <v>50</v>
      </c>
      <c r="V85" t="s">
        <v>51</v>
      </c>
      <c r="W85">
        <v>12279363</v>
      </c>
      <c r="X85" t="s">
        <v>333</v>
      </c>
      <c r="Y85">
        <f t="shared" si="19"/>
        <v>1.3213280000000001</v>
      </c>
      <c r="Z85">
        <f t="shared" si="20"/>
        <v>13.52</v>
      </c>
      <c r="AA85">
        <f t="shared" si="21"/>
        <v>0</v>
      </c>
      <c r="AB85" s="2">
        <f t="shared" si="22"/>
        <v>10</v>
      </c>
      <c r="AC85" s="2">
        <f t="shared" si="23"/>
        <v>0</v>
      </c>
      <c r="AD85" s="2">
        <f t="shared" si="24"/>
        <v>0</v>
      </c>
      <c r="AE85" s="2">
        <f t="shared" si="25"/>
        <v>0</v>
      </c>
      <c r="AF85" s="2">
        <f t="shared" si="26"/>
        <v>0</v>
      </c>
      <c r="AG85" s="2">
        <f t="shared" si="27"/>
        <v>0</v>
      </c>
      <c r="AH85" s="2">
        <f t="shared" si="28"/>
        <v>0</v>
      </c>
      <c r="AI85" s="1">
        <f t="shared" si="29"/>
        <v>486.71999999999997</v>
      </c>
      <c r="AJ85" s="1">
        <f t="shared" si="30"/>
        <v>0</v>
      </c>
      <c r="AK85" s="1" t="str">
        <f t="shared" si="31"/>
        <v/>
      </c>
      <c r="AL85" s="1" t="str">
        <f t="shared" si="32"/>
        <v/>
      </c>
      <c r="AM85" s="1" t="str">
        <f t="shared" si="17"/>
        <v/>
      </c>
      <c r="AN85" s="5">
        <f t="shared" si="18"/>
        <v>0</v>
      </c>
      <c r="AO85" s="1" t="str">
        <f t="shared" si="33"/>
        <v/>
      </c>
    </row>
    <row r="86" spans="1:41">
      <c r="A86" t="s">
        <v>340</v>
      </c>
      <c r="B86" t="s">
        <v>266</v>
      </c>
      <c r="C86" t="s">
        <v>344</v>
      </c>
      <c r="D86">
        <v>538</v>
      </c>
      <c r="E86">
        <v>307</v>
      </c>
      <c r="F86">
        <v>1</v>
      </c>
      <c r="G86">
        <v>4</v>
      </c>
      <c r="L86" t="s">
        <v>342</v>
      </c>
      <c r="M86" t="s">
        <v>343</v>
      </c>
      <c r="N86" t="s">
        <v>283</v>
      </c>
      <c r="O86">
        <v>0</v>
      </c>
      <c r="P86" t="s">
        <v>54</v>
      </c>
      <c r="Q86" t="s">
        <v>49</v>
      </c>
      <c r="R86">
        <v>3450</v>
      </c>
      <c r="S86" t="s">
        <v>343</v>
      </c>
      <c r="U86" t="s">
        <v>50</v>
      </c>
      <c r="V86" t="s">
        <v>51</v>
      </c>
      <c r="W86">
        <v>12279466</v>
      </c>
      <c r="X86" t="s">
        <v>333</v>
      </c>
      <c r="Y86">
        <f t="shared" si="19"/>
        <v>0.66066400000000003</v>
      </c>
      <c r="Z86">
        <f t="shared" si="20"/>
        <v>6.76</v>
      </c>
      <c r="AA86">
        <f t="shared" si="21"/>
        <v>0</v>
      </c>
      <c r="AB86" s="2">
        <f t="shared" si="22"/>
        <v>10</v>
      </c>
      <c r="AC86" s="2">
        <f t="shared" si="23"/>
        <v>0</v>
      </c>
      <c r="AD86" s="2">
        <f t="shared" si="24"/>
        <v>0</v>
      </c>
      <c r="AE86" s="2">
        <f t="shared" si="25"/>
        <v>0</v>
      </c>
      <c r="AF86" s="2">
        <f t="shared" si="26"/>
        <v>0</v>
      </c>
      <c r="AG86" s="2">
        <f t="shared" si="27"/>
        <v>0</v>
      </c>
      <c r="AH86" s="2">
        <f t="shared" si="28"/>
        <v>0</v>
      </c>
      <c r="AI86" s="1">
        <f t="shared" si="29"/>
        <v>243.35999999999999</v>
      </c>
      <c r="AJ86" s="1">
        <f t="shared" si="30"/>
        <v>0</v>
      </c>
      <c r="AK86" s="1" t="str">
        <f t="shared" si="31"/>
        <v/>
      </c>
      <c r="AL86" s="1" t="str">
        <f t="shared" si="32"/>
        <v/>
      </c>
      <c r="AM86" s="1" t="str">
        <f t="shared" si="17"/>
        <v/>
      </c>
      <c r="AN86" s="5">
        <f t="shared" si="18"/>
        <v>0</v>
      </c>
      <c r="AO86" s="1" t="str">
        <f t="shared" si="33"/>
        <v/>
      </c>
    </row>
    <row r="87" spans="1:41">
      <c r="A87" t="s">
        <v>340</v>
      </c>
      <c r="B87" t="s">
        <v>266</v>
      </c>
      <c r="C87" t="s">
        <v>344</v>
      </c>
      <c r="D87">
        <v>538</v>
      </c>
      <c r="E87">
        <v>307</v>
      </c>
      <c r="F87">
        <v>1</v>
      </c>
      <c r="G87">
        <v>4</v>
      </c>
      <c r="L87" t="s">
        <v>342</v>
      </c>
      <c r="M87" t="s">
        <v>343</v>
      </c>
      <c r="N87" t="s">
        <v>283</v>
      </c>
      <c r="O87">
        <v>0</v>
      </c>
      <c r="P87" t="s">
        <v>54</v>
      </c>
      <c r="Q87" t="s">
        <v>49</v>
      </c>
      <c r="R87">
        <v>3450</v>
      </c>
      <c r="S87" t="s">
        <v>343</v>
      </c>
      <c r="U87" t="s">
        <v>50</v>
      </c>
      <c r="V87" t="s">
        <v>51</v>
      </c>
      <c r="W87">
        <v>12279569</v>
      </c>
      <c r="X87" t="s">
        <v>333</v>
      </c>
      <c r="Y87">
        <f t="shared" si="19"/>
        <v>0.66066400000000003</v>
      </c>
      <c r="Z87">
        <f t="shared" si="20"/>
        <v>6.76</v>
      </c>
      <c r="AA87">
        <f t="shared" si="21"/>
        <v>0</v>
      </c>
      <c r="AB87" s="2">
        <f t="shared" si="22"/>
        <v>10</v>
      </c>
      <c r="AC87" s="2">
        <f t="shared" si="23"/>
        <v>0</v>
      </c>
      <c r="AD87" s="2">
        <f t="shared" si="24"/>
        <v>0</v>
      </c>
      <c r="AE87" s="2">
        <f t="shared" si="25"/>
        <v>0</v>
      </c>
      <c r="AF87" s="2">
        <f t="shared" si="26"/>
        <v>0</v>
      </c>
      <c r="AG87" s="2">
        <f t="shared" si="27"/>
        <v>0</v>
      </c>
      <c r="AH87" s="2">
        <f t="shared" si="28"/>
        <v>0</v>
      </c>
      <c r="AI87" s="1">
        <f t="shared" si="29"/>
        <v>243.35999999999999</v>
      </c>
      <c r="AJ87" s="1">
        <f t="shared" si="30"/>
        <v>0</v>
      </c>
      <c r="AK87" s="1" t="str">
        <f t="shared" si="31"/>
        <v/>
      </c>
      <c r="AL87" s="1" t="str">
        <f t="shared" si="32"/>
        <v/>
      </c>
      <c r="AM87" s="1" t="str">
        <f t="shared" si="17"/>
        <v/>
      </c>
      <c r="AN87" s="5">
        <f t="shared" si="18"/>
        <v>0</v>
      </c>
      <c r="AO87" s="1" t="str">
        <f t="shared" si="33"/>
        <v/>
      </c>
    </row>
    <row r="88" spans="1:41">
      <c r="A88" t="s">
        <v>345</v>
      </c>
      <c r="B88" t="s">
        <v>266</v>
      </c>
      <c r="C88" t="s">
        <v>346</v>
      </c>
      <c r="D88">
        <v>570</v>
      </c>
      <c r="E88">
        <v>60</v>
      </c>
      <c r="F88">
        <v>1</v>
      </c>
      <c r="G88">
        <v>8</v>
      </c>
      <c r="L88" t="s">
        <v>347</v>
      </c>
      <c r="M88" t="s">
        <v>348</v>
      </c>
      <c r="N88" t="s">
        <v>283</v>
      </c>
      <c r="O88">
        <v>0</v>
      </c>
      <c r="P88" t="s">
        <v>48</v>
      </c>
      <c r="Q88" t="s">
        <v>49</v>
      </c>
      <c r="R88">
        <v>3450</v>
      </c>
      <c r="S88" t="s">
        <v>348</v>
      </c>
      <c r="U88" t="s">
        <v>50</v>
      </c>
      <c r="V88" t="s">
        <v>51</v>
      </c>
      <c r="W88">
        <v>12279361</v>
      </c>
      <c r="X88" t="s">
        <v>333</v>
      </c>
      <c r="Y88">
        <f t="shared" si="19"/>
        <v>0.27360000000000001</v>
      </c>
      <c r="Z88">
        <f t="shared" si="20"/>
        <v>10.08</v>
      </c>
      <c r="AA88">
        <f t="shared" si="21"/>
        <v>0</v>
      </c>
      <c r="AB88" s="2">
        <f t="shared" si="22"/>
        <v>10</v>
      </c>
      <c r="AC88" s="2">
        <f t="shared" si="23"/>
        <v>0</v>
      </c>
      <c r="AD88" s="2">
        <f t="shared" si="24"/>
        <v>0</v>
      </c>
      <c r="AE88" s="2">
        <f t="shared" si="25"/>
        <v>0</v>
      </c>
      <c r="AF88" s="2">
        <f t="shared" si="26"/>
        <v>0</v>
      </c>
      <c r="AG88" s="2">
        <f t="shared" si="27"/>
        <v>0</v>
      </c>
      <c r="AH88" s="2">
        <f t="shared" si="28"/>
        <v>0</v>
      </c>
      <c r="AI88" s="1">
        <f t="shared" si="29"/>
        <v>362.88</v>
      </c>
      <c r="AJ88" s="1">
        <f t="shared" si="30"/>
        <v>0</v>
      </c>
      <c r="AK88" s="1" t="str">
        <f t="shared" si="31"/>
        <v/>
      </c>
      <c r="AL88" s="1" t="str">
        <f t="shared" si="32"/>
        <v/>
      </c>
      <c r="AM88" s="1" t="str">
        <f t="shared" si="17"/>
        <v/>
      </c>
      <c r="AN88" s="5">
        <f t="shared" si="18"/>
        <v>0</v>
      </c>
      <c r="AO88" s="1" t="str">
        <f t="shared" si="33"/>
        <v/>
      </c>
    </row>
    <row r="89" spans="1:41">
      <c r="A89" t="s">
        <v>345</v>
      </c>
      <c r="B89" t="s">
        <v>266</v>
      </c>
      <c r="C89" t="s">
        <v>349</v>
      </c>
      <c r="D89">
        <v>570</v>
      </c>
      <c r="E89">
        <v>60</v>
      </c>
      <c r="F89">
        <v>1</v>
      </c>
      <c r="G89">
        <v>4</v>
      </c>
      <c r="L89" t="s">
        <v>347</v>
      </c>
      <c r="M89" t="s">
        <v>348</v>
      </c>
      <c r="N89" t="s">
        <v>283</v>
      </c>
      <c r="O89">
        <v>0</v>
      </c>
      <c r="P89" t="s">
        <v>54</v>
      </c>
      <c r="Q89" t="s">
        <v>49</v>
      </c>
      <c r="R89">
        <v>3450</v>
      </c>
      <c r="S89" t="s">
        <v>348</v>
      </c>
      <c r="U89" t="s">
        <v>50</v>
      </c>
      <c r="V89" t="s">
        <v>51</v>
      </c>
      <c r="W89">
        <v>12279464</v>
      </c>
      <c r="X89" t="s">
        <v>333</v>
      </c>
      <c r="Y89">
        <f t="shared" si="19"/>
        <v>0.1368</v>
      </c>
      <c r="Z89">
        <f t="shared" si="20"/>
        <v>5.04</v>
      </c>
      <c r="AA89">
        <f t="shared" si="21"/>
        <v>0</v>
      </c>
      <c r="AB89" s="2">
        <f t="shared" si="22"/>
        <v>10</v>
      </c>
      <c r="AC89" s="2">
        <f t="shared" si="23"/>
        <v>0</v>
      </c>
      <c r="AD89" s="2">
        <f t="shared" si="24"/>
        <v>0</v>
      </c>
      <c r="AE89" s="2">
        <f t="shared" si="25"/>
        <v>0</v>
      </c>
      <c r="AF89" s="2">
        <f t="shared" si="26"/>
        <v>0</v>
      </c>
      <c r="AG89" s="2">
        <f t="shared" si="27"/>
        <v>0</v>
      </c>
      <c r="AH89" s="2">
        <f t="shared" si="28"/>
        <v>0</v>
      </c>
      <c r="AI89" s="1">
        <f t="shared" si="29"/>
        <v>181.44</v>
      </c>
      <c r="AJ89" s="1">
        <f t="shared" si="30"/>
        <v>0</v>
      </c>
      <c r="AK89" s="1" t="str">
        <f t="shared" si="31"/>
        <v/>
      </c>
      <c r="AL89" s="1" t="str">
        <f t="shared" si="32"/>
        <v/>
      </c>
      <c r="AM89" s="1" t="str">
        <f t="shared" si="17"/>
        <v/>
      </c>
      <c r="AN89" s="5">
        <f t="shared" si="18"/>
        <v>0</v>
      </c>
      <c r="AO89" s="1" t="str">
        <f t="shared" si="33"/>
        <v/>
      </c>
    </row>
    <row r="90" spans="1:41">
      <c r="A90" t="s">
        <v>345</v>
      </c>
      <c r="B90" t="s">
        <v>266</v>
      </c>
      <c r="C90" t="s">
        <v>349</v>
      </c>
      <c r="D90">
        <v>570</v>
      </c>
      <c r="E90">
        <v>60</v>
      </c>
      <c r="F90">
        <v>1</v>
      </c>
      <c r="G90">
        <v>4</v>
      </c>
      <c r="L90" t="s">
        <v>347</v>
      </c>
      <c r="M90" t="s">
        <v>348</v>
      </c>
      <c r="N90" t="s">
        <v>283</v>
      </c>
      <c r="O90">
        <v>0</v>
      </c>
      <c r="P90" t="s">
        <v>54</v>
      </c>
      <c r="Q90" t="s">
        <v>49</v>
      </c>
      <c r="R90">
        <v>3450</v>
      </c>
      <c r="S90" t="s">
        <v>348</v>
      </c>
      <c r="U90" t="s">
        <v>50</v>
      </c>
      <c r="V90" t="s">
        <v>51</v>
      </c>
      <c r="W90">
        <v>12279567</v>
      </c>
      <c r="X90" t="s">
        <v>333</v>
      </c>
      <c r="Y90">
        <f t="shared" si="19"/>
        <v>0.1368</v>
      </c>
      <c r="Z90">
        <f t="shared" si="20"/>
        <v>5.04</v>
      </c>
      <c r="AA90">
        <f t="shared" si="21"/>
        <v>0</v>
      </c>
      <c r="AB90" s="2">
        <f t="shared" si="22"/>
        <v>10</v>
      </c>
      <c r="AC90" s="2">
        <f t="shared" si="23"/>
        <v>0</v>
      </c>
      <c r="AD90" s="2">
        <f t="shared" si="24"/>
        <v>0</v>
      </c>
      <c r="AE90" s="2">
        <f t="shared" si="25"/>
        <v>0</v>
      </c>
      <c r="AF90" s="2">
        <f t="shared" si="26"/>
        <v>0</v>
      </c>
      <c r="AG90" s="2">
        <f t="shared" si="27"/>
        <v>0</v>
      </c>
      <c r="AH90" s="2">
        <f t="shared" si="28"/>
        <v>0</v>
      </c>
      <c r="AI90" s="1">
        <f t="shared" si="29"/>
        <v>181.44</v>
      </c>
      <c r="AJ90" s="1">
        <f t="shared" si="30"/>
        <v>0</v>
      </c>
      <c r="AK90" s="1" t="str">
        <f t="shared" si="31"/>
        <v/>
      </c>
      <c r="AL90" s="1" t="str">
        <f t="shared" si="32"/>
        <v/>
      </c>
      <c r="AM90" s="1" t="str">
        <f t="shared" si="17"/>
        <v/>
      </c>
      <c r="AN90" s="5">
        <f t="shared" si="18"/>
        <v>0</v>
      </c>
      <c r="AO90" s="1" t="str">
        <f t="shared" si="33"/>
        <v/>
      </c>
    </row>
    <row r="91" spans="1:41">
      <c r="A91" t="s">
        <v>350</v>
      </c>
      <c r="B91" t="s">
        <v>266</v>
      </c>
      <c r="C91" t="s">
        <v>351</v>
      </c>
      <c r="D91">
        <v>560</v>
      </c>
      <c r="E91">
        <v>60</v>
      </c>
      <c r="F91">
        <v>1</v>
      </c>
      <c r="G91">
        <v>32</v>
      </c>
      <c r="H91">
        <v>1</v>
      </c>
      <c r="L91" t="s">
        <v>352</v>
      </c>
      <c r="M91" t="s">
        <v>353</v>
      </c>
      <c r="N91" t="s">
        <v>283</v>
      </c>
      <c r="O91">
        <v>0</v>
      </c>
      <c r="P91" t="s">
        <v>48</v>
      </c>
      <c r="Q91" t="s">
        <v>49</v>
      </c>
      <c r="R91">
        <v>3450</v>
      </c>
      <c r="S91" t="s">
        <v>353</v>
      </c>
      <c r="U91" t="s">
        <v>50</v>
      </c>
      <c r="V91" t="s">
        <v>51</v>
      </c>
      <c r="W91">
        <v>12279372</v>
      </c>
      <c r="X91" t="s">
        <v>333</v>
      </c>
      <c r="Y91">
        <f t="shared" si="19"/>
        <v>1.0751999999999999</v>
      </c>
      <c r="Z91">
        <f t="shared" si="20"/>
        <v>39.68</v>
      </c>
      <c r="AA91">
        <f t="shared" si="21"/>
        <v>17.920000000000002</v>
      </c>
      <c r="AB91" s="2">
        <f t="shared" si="22"/>
        <v>10</v>
      </c>
      <c r="AC91" s="2">
        <f t="shared" si="23"/>
        <v>0</v>
      </c>
      <c r="AD91" s="2">
        <f t="shared" si="24"/>
        <v>0</v>
      </c>
      <c r="AE91" s="2">
        <f t="shared" si="25"/>
        <v>0</v>
      </c>
      <c r="AF91" s="2">
        <f t="shared" si="26"/>
        <v>0</v>
      </c>
      <c r="AG91" s="2">
        <f t="shared" si="27"/>
        <v>0</v>
      </c>
      <c r="AH91" s="2">
        <f t="shared" si="28"/>
        <v>0</v>
      </c>
      <c r="AI91" s="1">
        <f t="shared" si="29"/>
        <v>1428.48</v>
      </c>
      <c r="AJ91" s="1">
        <f t="shared" si="30"/>
        <v>1075.2</v>
      </c>
      <c r="AK91" s="1" t="str">
        <f t="shared" si="31"/>
        <v/>
      </c>
      <c r="AL91" s="1" t="str">
        <f t="shared" si="32"/>
        <v/>
      </c>
      <c r="AM91" s="1" t="str">
        <f t="shared" si="17"/>
        <v/>
      </c>
      <c r="AN91" s="5">
        <f t="shared" si="18"/>
        <v>0</v>
      </c>
      <c r="AO91" s="1" t="str">
        <f t="shared" si="33"/>
        <v/>
      </c>
    </row>
    <row r="92" spans="1:41">
      <c r="A92" t="s">
        <v>350</v>
      </c>
      <c r="B92" t="s">
        <v>266</v>
      </c>
      <c r="C92" t="s">
        <v>354</v>
      </c>
      <c r="D92">
        <v>560</v>
      </c>
      <c r="E92">
        <v>60</v>
      </c>
      <c r="F92">
        <v>1</v>
      </c>
      <c r="G92">
        <v>16</v>
      </c>
      <c r="H92">
        <v>1</v>
      </c>
      <c r="L92" t="s">
        <v>352</v>
      </c>
      <c r="M92" t="s">
        <v>353</v>
      </c>
      <c r="N92" t="s">
        <v>283</v>
      </c>
      <c r="O92">
        <v>0</v>
      </c>
      <c r="P92" t="s">
        <v>54</v>
      </c>
      <c r="Q92" t="s">
        <v>49</v>
      </c>
      <c r="R92">
        <v>3450</v>
      </c>
      <c r="S92" t="s">
        <v>353</v>
      </c>
      <c r="U92" t="s">
        <v>50</v>
      </c>
      <c r="V92" t="s">
        <v>51</v>
      </c>
      <c r="W92">
        <v>12279475</v>
      </c>
      <c r="X92" t="s">
        <v>333</v>
      </c>
      <c r="Y92">
        <f t="shared" si="19"/>
        <v>0.53759999999999997</v>
      </c>
      <c r="Z92">
        <f t="shared" si="20"/>
        <v>19.84</v>
      </c>
      <c r="AA92">
        <f t="shared" si="21"/>
        <v>8.9600000000000009</v>
      </c>
      <c r="AB92" s="2">
        <f t="shared" si="22"/>
        <v>10</v>
      </c>
      <c r="AC92" s="2">
        <f t="shared" si="23"/>
        <v>0</v>
      </c>
      <c r="AD92" s="2">
        <f t="shared" si="24"/>
        <v>0</v>
      </c>
      <c r="AE92" s="2">
        <f t="shared" si="25"/>
        <v>0</v>
      </c>
      <c r="AF92" s="2">
        <f t="shared" si="26"/>
        <v>0</v>
      </c>
      <c r="AG92" s="2">
        <f t="shared" si="27"/>
        <v>0</v>
      </c>
      <c r="AH92" s="2">
        <f t="shared" si="28"/>
        <v>0</v>
      </c>
      <c r="AI92" s="1">
        <f t="shared" si="29"/>
        <v>714.24</v>
      </c>
      <c r="AJ92" s="1">
        <f t="shared" si="30"/>
        <v>537.6</v>
      </c>
      <c r="AK92" s="1" t="str">
        <f t="shared" si="31"/>
        <v/>
      </c>
      <c r="AL92" s="1" t="str">
        <f t="shared" si="32"/>
        <v/>
      </c>
      <c r="AM92" s="1" t="str">
        <f t="shared" si="17"/>
        <v/>
      </c>
      <c r="AN92" s="5">
        <f t="shared" si="18"/>
        <v>0</v>
      </c>
      <c r="AO92" s="1" t="str">
        <f t="shared" si="33"/>
        <v/>
      </c>
    </row>
    <row r="93" spans="1:41">
      <c r="A93" t="s">
        <v>350</v>
      </c>
      <c r="B93" t="s">
        <v>266</v>
      </c>
      <c r="C93" t="s">
        <v>354</v>
      </c>
      <c r="D93">
        <v>560</v>
      </c>
      <c r="E93">
        <v>60</v>
      </c>
      <c r="F93">
        <v>1</v>
      </c>
      <c r="G93">
        <v>16</v>
      </c>
      <c r="H93">
        <v>1</v>
      </c>
      <c r="L93" t="s">
        <v>352</v>
      </c>
      <c r="M93" t="s">
        <v>353</v>
      </c>
      <c r="N93" t="s">
        <v>283</v>
      </c>
      <c r="O93">
        <v>0</v>
      </c>
      <c r="P93" t="s">
        <v>54</v>
      </c>
      <c r="Q93" t="s">
        <v>49</v>
      </c>
      <c r="R93">
        <v>3450</v>
      </c>
      <c r="S93" t="s">
        <v>353</v>
      </c>
      <c r="U93" t="s">
        <v>50</v>
      </c>
      <c r="V93" t="s">
        <v>51</v>
      </c>
      <c r="W93">
        <v>12279578</v>
      </c>
      <c r="X93" t="s">
        <v>333</v>
      </c>
      <c r="Y93">
        <f t="shared" si="19"/>
        <v>0.53759999999999997</v>
      </c>
      <c r="Z93">
        <f t="shared" si="20"/>
        <v>19.84</v>
      </c>
      <c r="AA93">
        <f t="shared" si="21"/>
        <v>8.9600000000000009</v>
      </c>
      <c r="AB93" s="2">
        <f t="shared" si="22"/>
        <v>10</v>
      </c>
      <c r="AC93" s="2">
        <f t="shared" si="23"/>
        <v>0</v>
      </c>
      <c r="AD93" s="2">
        <f t="shared" si="24"/>
        <v>0</v>
      </c>
      <c r="AE93" s="2">
        <f t="shared" si="25"/>
        <v>0</v>
      </c>
      <c r="AF93" s="2">
        <f t="shared" si="26"/>
        <v>0</v>
      </c>
      <c r="AG93" s="2">
        <f t="shared" si="27"/>
        <v>0</v>
      </c>
      <c r="AH93" s="2">
        <f t="shared" si="28"/>
        <v>0</v>
      </c>
      <c r="AI93" s="1">
        <f t="shared" si="29"/>
        <v>714.24</v>
      </c>
      <c r="AJ93" s="1">
        <f t="shared" si="30"/>
        <v>537.6</v>
      </c>
      <c r="AK93" s="1" t="str">
        <f t="shared" si="31"/>
        <v/>
      </c>
      <c r="AL93" s="1" t="str">
        <f t="shared" si="32"/>
        <v/>
      </c>
      <c r="AM93" s="1" t="str">
        <f t="shared" si="17"/>
        <v/>
      </c>
      <c r="AN93" s="5">
        <f t="shared" si="18"/>
        <v>0</v>
      </c>
      <c r="AO93" s="1" t="str">
        <f t="shared" si="33"/>
        <v/>
      </c>
    </row>
    <row r="94" spans="1:41">
      <c r="A94" t="s">
        <v>355</v>
      </c>
      <c r="B94" t="s">
        <v>266</v>
      </c>
      <c r="C94" t="s">
        <v>356</v>
      </c>
      <c r="D94">
        <v>437</v>
      </c>
      <c r="E94">
        <v>390</v>
      </c>
      <c r="F94">
        <v>0</v>
      </c>
      <c r="G94">
        <v>1</v>
      </c>
      <c r="L94" t="s">
        <v>357</v>
      </c>
      <c r="M94" t="s">
        <v>358</v>
      </c>
      <c r="N94" t="s">
        <v>359</v>
      </c>
      <c r="O94">
        <v>0</v>
      </c>
      <c r="P94" t="s">
        <v>360</v>
      </c>
      <c r="Q94" t="s">
        <v>134</v>
      </c>
      <c r="R94">
        <v>10695</v>
      </c>
      <c r="S94" t="s">
        <v>358</v>
      </c>
      <c r="U94" t="s">
        <v>361</v>
      </c>
      <c r="V94" t="s">
        <v>362</v>
      </c>
      <c r="W94">
        <v>12278732</v>
      </c>
      <c r="X94" t="s">
        <v>363</v>
      </c>
      <c r="Y94">
        <f t="shared" si="19"/>
        <v>0.17043</v>
      </c>
      <c r="Z94">
        <f t="shared" si="20"/>
        <v>1.6539999999999999</v>
      </c>
      <c r="AA94">
        <f t="shared" si="21"/>
        <v>0</v>
      </c>
      <c r="AB94" s="2">
        <f t="shared" si="22"/>
        <v>19</v>
      </c>
      <c r="AC94" s="2">
        <f t="shared" si="23"/>
        <v>0</v>
      </c>
      <c r="AD94" s="2">
        <f t="shared" si="24"/>
        <v>0</v>
      </c>
      <c r="AE94" s="2">
        <f t="shared" si="25"/>
        <v>16</v>
      </c>
      <c r="AF94" s="2">
        <f t="shared" si="26"/>
        <v>10</v>
      </c>
      <c r="AG94" s="2">
        <f t="shared" si="27"/>
        <v>13</v>
      </c>
      <c r="AH94" s="2">
        <f t="shared" si="28"/>
        <v>0</v>
      </c>
      <c r="AI94" s="1">
        <f t="shared" si="29"/>
        <v>59.543999999999997</v>
      </c>
      <c r="AJ94" s="1">
        <f t="shared" si="30"/>
        <v>0</v>
      </c>
      <c r="AK94" s="1" t="str">
        <f t="shared" si="31"/>
        <v/>
      </c>
      <c r="AL94" s="1">
        <f t="shared" si="32"/>
        <v>240</v>
      </c>
      <c r="AM94" s="1">
        <f t="shared" si="17"/>
        <v>130</v>
      </c>
      <c r="AN94" s="5">
        <f t="shared" si="18"/>
        <v>364.82465999999999</v>
      </c>
      <c r="AO94" s="1" t="str">
        <f t="shared" si="33"/>
        <v/>
      </c>
    </row>
    <row r="95" spans="1:41">
      <c r="A95" t="s">
        <v>364</v>
      </c>
      <c r="B95" t="s">
        <v>266</v>
      </c>
      <c r="C95" t="s">
        <v>365</v>
      </c>
      <c r="D95">
        <v>500</v>
      </c>
      <c r="E95">
        <v>150</v>
      </c>
      <c r="F95">
        <v>0</v>
      </c>
      <c r="G95">
        <v>1</v>
      </c>
      <c r="L95" t="s">
        <v>366</v>
      </c>
      <c r="M95" t="s">
        <v>367</v>
      </c>
      <c r="N95" t="s">
        <v>368</v>
      </c>
      <c r="O95">
        <v>0</v>
      </c>
      <c r="P95" t="s">
        <v>271</v>
      </c>
      <c r="Q95" t="s">
        <v>134</v>
      </c>
      <c r="R95">
        <v>10695</v>
      </c>
      <c r="S95" t="s">
        <v>367</v>
      </c>
      <c r="U95" t="s">
        <v>272</v>
      </c>
      <c r="V95" t="s">
        <v>273</v>
      </c>
      <c r="W95">
        <v>12277880</v>
      </c>
      <c r="X95" t="s">
        <v>284</v>
      </c>
      <c r="Y95">
        <f t="shared" si="19"/>
        <v>7.4999999999999997E-2</v>
      </c>
      <c r="Z95">
        <f t="shared" si="20"/>
        <v>1.3</v>
      </c>
      <c r="AA95">
        <f t="shared" si="21"/>
        <v>0</v>
      </c>
      <c r="AB95" s="2">
        <f t="shared" si="22"/>
        <v>15</v>
      </c>
      <c r="AC95" s="2">
        <f t="shared" si="23"/>
        <v>0</v>
      </c>
      <c r="AD95" s="2">
        <f t="shared" si="24"/>
        <v>0</v>
      </c>
      <c r="AE95" s="2">
        <f t="shared" si="25"/>
        <v>12</v>
      </c>
      <c r="AF95" s="2">
        <f t="shared" si="26"/>
        <v>0</v>
      </c>
      <c r="AG95" s="2">
        <f t="shared" si="27"/>
        <v>9</v>
      </c>
      <c r="AH95" s="2">
        <f t="shared" si="28"/>
        <v>0</v>
      </c>
      <c r="AI95" s="1">
        <f t="shared" si="29"/>
        <v>46.800000000000004</v>
      </c>
      <c r="AJ95" s="1">
        <f t="shared" si="30"/>
        <v>0</v>
      </c>
      <c r="AK95" s="1" t="str">
        <f t="shared" si="31"/>
        <v/>
      </c>
      <c r="AL95" s="1">
        <f t="shared" si="32"/>
        <v>240</v>
      </c>
      <c r="AM95" s="1" t="str">
        <f t="shared" si="17"/>
        <v/>
      </c>
      <c r="AN95" s="5">
        <f t="shared" si="18"/>
        <v>301.64999999999998</v>
      </c>
      <c r="AO95" s="1" t="str">
        <f t="shared" si="33"/>
        <v/>
      </c>
    </row>
    <row r="96" spans="1:41">
      <c r="A96" t="s">
        <v>369</v>
      </c>
      <c r="B96" t="s">
        <v>266</v>
      </c>
      <c r="C96" t="s">
        <v>370</v>
      </c>
      <c r="D96">
        <v>437</v>
      </c>
      <c r="E96">
        <v>400</v>
      </c>
      <c r="F96">
        <v>1</v>
      </c>
      <c r="G96">
        <v>3</v>
      </c>
      <c r="L96" t="s">
        <v>371</v>
      </c>
      <c r="M96" t="s">
        <v>372</v>
      </c>
      <c r="N96" t="s">
        <v>283</v>
      </c>
      <c r="O96">
        <v>0</v>
      </c>
      <c r="P96" t="s">
        <v>373</v>
      </c>
      <c r="Q96" t="s">
        <v>374</v>
      </c>
      <c r="R96">
        <v>3136</v>
      </c>
      <c r="S96" t="s">
        <v>372</v>
      </c>
      <c r="U96" t="s">
        <v>83</v>
      </c>
      <c r="V96" t="s">
        <v>375</v>
      </c>
      <c r="W96">
        <v>12276642</v>
      </c>
      <c r="X96" t="s">
        <v>376</v>
      </c>
      <c r="Y96">
        <f t="shared" si="19"/>
        <v>0.52439999999999998</v>
      </c>
      <c r="Z96">
        <f t="shared" si="20"/>
        <v>5.0220000000000002</v>
      </c>
      <c r="AA96">
        <f t="shared" si="21"/>
        <v>0</v>
      </c>
      <c r="AB96" s="2">
        <f t="shared" si="22"/>
        <v>60</v>
      </c>
      <c r="AC96" s="2">
        <f t="shared" si="23"/>
        <v>0</v>
      </c>
      <c r="AD96" s="2">
        <f t="shared" si="24"/>
        <v>0</v>
      </c>
      <c r="AE96" s="2">
        <f t="shared" si="25"/>
        <v>53</v>
      </c>
      <c r="AF96" s="2">
        <f t="shared" si="26"/>
        <v>39</v>
      </c>
      <c r="AG96" s="2">
        <f t="shared" si="27"/>
        <v>46</v>
      </c>
      <c r="AH96" s="2">
        <f t="shared" si="28"/>
        <v>0</v>
      </c>
      <c r="AI96" s="1">
        <f t="shared" si="29"/>
        <v>180.792</v>
      </c>
      <c r="AJ96" s="1">
        <f t="shared" si="30"/>
        <v>0</v>
      </c>
      <c r="AK96" s="1" t="str">
        <f t="shared" si="31"/>
        <v/>
      </c>
      <c r="AL96" s="1">
        <f t="shared" si="32"/>
        <v>720</v>
      </c>
      <c r="AM96" s="1">
        <f t="shared" si="17"/>
        <v>390</v>
      </c>
      <c r="AN96" s="5">
        <f t="shared" si="18"/>
        <v>1797.4584</v>
      </c>
      <c r="AO96" s="1" t="str">
        <f t="shared" si="33"/>
        <v/>
      </c>
    </row>
    <row r="97" spans="1:41">
      <c r="A97" t="s">
        <v>369</v>
      </c>
      <c r="B97" t="s">
        <v>266</v>
      </c>
      <c r="C97" t="s">
        <v>377</v>
      </c>
      <c r="D97">
        <v>437</v>
      </c>
      <c r="E97">
        <v>400</v>
      </c>
      <c r="F97">
        <v>1</v>
      </c>
      <c r="G97">
        <v>3</v>
      </c>
      <c r="L97" t="s">
        <v>371</v>
      </c>
      <c r="M97" t="s">
        <v>372</v>
      </c>
      <c r="N97" t="s">
        <v>283</v>
      </c>
      <c r="O97">
        <v>0</v>
      </c>
      <c r="P97" t="s">
        <v>378</v>
      </c>
      <c r="Q97" t="s">
        <v>374</v>
      </c>
      <c r="R97">
        <v>3136</v>
      </c>
      <c r="S97" t="s">
        <v>372</v>
      </c>
      <c r="U97" t="s">
        <v>83</v>
      </c>
      <c r="V97" t="s">
        <v>375</v>
      </c>
      <c r="W97">
        <v>12276965</v>
      </c>
      <c r="X97" t="s">
        <v>379</v>
      </c>
      <c r="Y97">
        <f t="shared" si="19"/>
        <v>0.52439999999999998</v>
      </c>
      <c r="Z97">
        <f t="shared" si="20"/>
        <v>5.0220000000000002</v>
      </c>
      <c r="AA97">
        <f t="shared" si="21"/>
        <v>0</v>
      </c>
      <c r="AB97" s="2">
        <f t="shared" si="22"/>
        <v>63</v>
      </c>
      <c r="AC97" s="2">
        <f t="shared" si="23"/>
        <v>0</v>
      </c>
      <c r="AD97" s="2">
        <f t="shared" si="24"/>
        <v>0</v>
      </c>
      <c r="AE97" s="2">
        <f t="shared" si="25"/>
        <v>56</v>
      </c>
      <c r="AF97" s="2">
        <f t="shared" si="26"/>
        <v>42</v>
      </c>
      <c r="AG97" s="2">
        <f t="shared" si="27"/>
        <v>49</v>
      </c>
      <c r="AH97" s="2">
        <f t="shared" si="28"/>
        <v>0</v>
      </c>
      <c r="AI97" s="1">
        <f t="shared" si="29"/>
        <v>180.792</v>
      </c>
      <c r="AJ97" s="1">
        <f t="shared" si="30"/>
        <v>0</v>
      </c>
      <c r="AK97" s="1" t="str">
        <f t="shared" si="31"/>
        <v/>
      </c>
      <c r="AL97" s="1">
        <f t="shared" si="32"/>
        <v>720</v>
      </c>
      <c r="AM97" s="1">
        <f t="shared" si="17"/>
        <v>390</v>
      </c>
      <c r="AN97" s="5">
        <f t="shared" si="18"/>
        <v>1797.4584</v>
      </c>
      <c r="AO97" s="1" t="str">
        <f t="shared" si="33"/>
        <v/>
      </c>
    </row>
    <row r="98" spans="1:41">
      <c r="A98" t="s">
        <v>369</v>
      </c>
      <c r="B98" t="s">
        <v>266</v>
      </c>
      <c r="C98" t="s">
        <v>380</v>
      </c>
      <c r="D98">
        <v>437</v>
      </c>
      <c r="E98">
        <v>400</v>
      </c>
      <c r="F98">
        <v>1</v>
      </c>
      <c r="G98">
        <v>1</v>
      </c>
      <c r="L98" t="s">
        <v>371</v>
      </c>
      <c r="M98" t="s">
        <v>372</v>
      </c>
      <c r="N98" t="s">
        <v>283</v>
      </c>
      <c r="O98">
        <v>0</v>
      </c>
      <c r="P98" t="s">
        <v>381</v>
      </c>
      <c r="Q98" t="s">
        <v>374</v>
      </c>
      <c r="R98">
        <v>3136</v>
      </c>
      <c r="S98" t="s">
        <v>372</v>
      </c>
      <c r="U98" t="s">
        <v>83</v>
      </c>
      <c r="V98" t="s">
        <v>375</v>
      </c>
      <c r="W98">
        <v>12277275</v>
      </c>
      <c r="X98" t="s">
        <v>376</v>
      </c>
      <c r="Y98">
        <f t="shared" si="19"/>
        <v>0.17480000000000001</v>
      </c>
      <c r="Z98">
        <f t="shared" si="20"/>
        <v>1.6739999999999999</v>
      </c>
      <c r="AA98">
        <f t="shared" si="21"/>
        <v>0</v>
      </c>
      <c r="AB98" s="2">
        <f t="shared" si="22"/>
        <v>60</v>
      </c>
      <c r="AC98" s="2">
        <f t="shared" si="23"/>
        <v>0</v>
      </c>
      <c r="AD98" s="2">
        <f t="shared" si="24"/>
        <v>0</v>
      </c>
      <c r="AE98" s="2">
        <f t="shared" si="25"/>
        <v>53</v>
      </c>
      <c r="AF98" s="2">
        <f t="shared" si="26"/>
        <v>39</v>
      </c>
      <c r="AG98" s="2">
        <f t="shared" si="27"/>
        <v>46</v>
      </c>
      <c r="AH98" s="2">
        <f t="shared" si="28"/>
        <v>0</v>
      </c>
      <c r="AI98" s="1">
        <f t="shared" si="29"/>
        <v>60.263999999999996</v>
      </c>
      <c r="AJ98" s="1">
        <f t="shared" si="30"/>
        <v>0</v>
      </c>
      <c r="AK98" s="1" t="str">
        <f t="shared" si="31"/>
        <v/>
      </c>
      <c r="AL98" s="1">
        <f t="shared" si="32"/>
        <v>240</v>
      </c>
      <c r="AM98" s="1">
        <f t="shared" si="17"/>
        <v>130</v>
      </c>
      <c r="AN98" s="5">
        <f t="shared" si="18"/>
        <v>367.7176</v>
      </c>
      <c r="AO98" s="1" t="str">
        <f t="shared" si="33"/>
        <v/>
      </c>
    </row>
    <row r="99" spans="1:41">
      <c r="A99" t="s">
        <v>382</v>
      </c>
      <c r="B99" t="s">
        <v>266</v>
      </c>
      <c r="C99" t="s">
        <v>383</v>
      </c>
      <c r="D99">
        <v>866</v>
      </c>
      <c r="E99">
        <v>338</v>
      </c>
      <c r="F99">
        <v>1</v>
      </c>
      <c r="G99">
        <v>3</v>
      </c>
      <c r="L99" t="s">
        <v>384</v>
      </c>
      <c r="M99" t="s">
        <v>385</v>
      </c>
      <c r="N99" t="s">
        <v>283</v>
      </c>
      <c r="O99">
        <v>0</v>
      </c>
      <c r="P99" t="s">
        <v>373</v>
      </c>
      <c r="Q99" t="s">
        <v>374</v>
      </c>
      <c r="R99">
        <v>3136</v>
      </c>
      <c r="S99" t="s">
        <v>385</v>
      </c>
      <c r="U99" t="s">
        <v>83</v>
      </c>
      <c r="V99" t="s">
        <v>375</v>
      </c>
      <c r="W99">
        <v>12276644</v>
      </c>
      <c r="X99" t="s">
        <v>376</v>
      </c>
      <c r="Y99">
        <f t="shared" si="19"/>
        <v>0.87812400000000002</v>
      </c>
      <c r="Z99">
        <f t="shared" si="20"/>
        <v>7.2240000000000002</v>
      </c>
      <c r="AA99">
        <f t="shared" si="21"/>
        <v>0</v>
      </c>
      <c r="AB99" s="2">
        <f t="shared" si="22"/>
        <v>55</v>
      </c>
      <c r="AC99" s="2">
        <f t="shared" si="23"/>
        <v>0</v>
      </c>
      <c r="AD99" s="2">
        <f t="shared" si="24"/>
        <v>0</v>
      </c>
      <c r="AE99" s="2">
        <f t="shared" si="25"/>
        <v>48</v>
      </c>
      <c r="AF99" s="2">
        <f t="shared" si="26"/>
        <v>34</v>
      </c>
      <c r="AG99" s="2">
        <f t="shared" si="27"/>
        <v>41</v>
      </c>
      <c r="AH99" s="2">
        <f t="shared" si="28"/>
        <v>0</v>
      </c>
      <c r="AI99" s="1">
        <f t="shared" si="29"/>
        <v>260.06400000000002</v>
      </c>
      <c r="AJ99" s="1">
        <f t="shared" si="30"/>
        <v>0</v>
      </c>
      <c r="AK99" s="1" t="str">
        <f t="shared" si="31"/>
        <v/>
      </c>
      <c r="AL99" s="1">
        <f t="shared" si="32"/>
        <v>720</v>
      </c>
      <c r="AM99" s="1">
        <f t="shared" si="17"/>
        <v>390</v>
      </c>
      <c r="AN99" s="5">
        <f t="shared" si="18"/>
        <v>2499.954264</v>
      </c>
      <c r="AO99" s="1" t="str">
        <f t="shared" si="33"/>
        <v/>
      </c>
    </row>
    <row r="100" spans="1:41">
      <c r="A100" t="s">
        <v>382</v>
      </c>
      <c r="B100" t="s">
        <v>266</v>
      </c>
      <c r="C100" t="s">
        <v>386</v>
      </c>
      <c r="D100">
        <v>866</v>
      </c>
      <c r="E100">
        <v>338</v>
      </c>
      <c r="F100">
        <v>1</v>
      </c>
      <c r="G100">
        <v>3</v>
      </c>
      <c r="L100" t="s">
        <v>384</v>
      </c>
      <c r="M100" t="s">
        <v>385</v>
      </c>
      <c r="N100" t="s">
        <v>283</v>
      </c>
      <c r="O100">
        <v>0</v>
      </c>
      <c r="P100" t="s">
        <v>378</v>
      </c>
      <c r="Q100" t="s">
        <v>374</v>
      </c>
      <c r="R100">
        <v>3136</v>
      </c>
      <c r="S100" t="s">
        <v>385</v>
      </c>
      <c r="U100" t="s">
        <v>83</v>
      </c>
      <c r="V100" t="s">
        <v>375</v>
      </c>
      <c r="W100">
        <v>12276967</v>
      </c>
      <c r="X100" t="s">
        <v>379</v>
      </c>
      <c r="Y100">
        <f t="shared" si="19"/>
        <v>0.87812400000000002</v>
      </c>
      <c r="Z100">
        <f t="shared" si="20"/>
        <v>7.2240000000000002</v>
      </c>
      <c r="AA100">
        <f t="shared" si="21"/>
        <v>0</v>
      </c>
      <c r="AB100" s="2">
        <f t="shared" si="22"/>
        <v>55</v>
      </c>
      <c r="AC100" s="2">
        <f t="shared" si="23"/>
        <v>0</v>
      </c>
      <c r="AD100" s="2">
        <f t="shared" si="24"/>
        <v>0</v>
      </c>
      <c r="AE100" s="2">
        <f t="shared" si="25"/>
        <v>48</v>
      </c>
      <c r="AF100" s="2">
        <f t="shared" si="26"/>
        <v>34</v>
      </c>
      <c r="AG100" s="2">
        <f t="shared" si="27"/>
        <v>41</v>
      </c>
      <c r="AH100" s="2">
        <f t="shared" si="28"/>
        <v>0</v>
      </c>
      <c r="AI100" s="1">
        <f t="shared" si="29"/>
        <v>260.06400000000002</v>
      </c>
      <c r="AJ100" s="1">
        <f t="shared" si="30"/>
        <v>0</v>
      </c>
      <c r="AK100" s="1" t="str">
        <f t="shared" si="31"/>
        <v/>
      </c>
      <c r="AL100" s="1">
        <f t="shared" si="32"/>
        <v>720</v>
      </c>
      <c r="AM100" s="1">
        <f t="shared" si="17"/>
        <v>390</v>
      </c>
      <c r="AN100" s="5">
        <f t="shared" si="18"/>
        <v>2499.954264</v>
      </c>
      <c r="AO100" s="1" t="str">
        <f t="shared" si="33"/>
        <v/>
      </c>
    </row>
    <row r="101" spans="1:41">
      <c r="A101" t="s">
        <v>382</v>
      </c>
      <c r="B101" t="s">
        <v>266</v>
      </c>
      <c r="C101" t="s">
        <v>387</v>
      </c>
      <c r="D101">
        <v>866</v>
      </c>
      <c r="E101">
        <v>338</v>
      </c>
      <c r="F101">
        <v>1</v>
      </c>
      <c r="G101">
        <v>1</v>
      </c>
      <c r="L101" t="s">
        <v>384</v>
      </c>
      <c r="M101" t="s">
        <v>385</v>
      </c>
      <c r="N101" t="s">
        <v>283</v>
      </c>
      <c r="O101">
        <v>0</v>
      </c>
      <c r="P101" t="s">
        <v>381</v>
      </c>
      <c r="Q101" t="s">
        <v>374</v>
      </c>
      <c r="R101">
        <v>3136</v>
      </c>
      <c r="S101" t="s">
        <v>385</v>
      </c>
      <c r="U101" t="s">
        <v>83</v>
      </c>
      <c r="V101" t="s">
        <v>375</v>
      </c>
      <c r="W101">
        <v>12277277</v>
      </c>
      <c r="X101" t="s">
        <v>376</v>
      </c>
      <c r="Y101">
        <f t="shared" si="19"/>
        <v>0.29270800000000002</v>
      </c>
      <c r="Z101">
        <f t="shared" si="20"/>
        <v>2.4079999999999999</v>
      </c>
      <c r="AA101">
        <f t="shared" si="21"/>
        <v>0</v>
      </c>
      <c r="AB101" s="2">
        <f t="shared" si="22"/>
        <v>55</v>
      </c>
      <c r="AC101" s="2">
        <f t="shared" si="23"/>
        <v>0</v>
      </c>
      <c r="AD101" s="2">
        <f t="shared" si="24"/>
        <v>0</v>
      </c>
      <c r="AE101" s="2">
        <f t="shared" si="25"/>
        <v>48</v>
      </c>
      <c r="AF101" s="2">
        <f t="shared" si="26"/>
        <v>34</v>
      </c>
      <c r="AG101" s="2">
        <f t="shared" si="27"/>
        <v>41</v>
      </c>
      <c r="AH101" s="2">
        <f t="shared" si="28"/>
        <v>0</v>
      </c>
      <c r="AI101" s="1">
        <f t="shared" si="29"/>
        <v>86.688000000000002</v>
      </c>
      <c r="AJ101" s="1">
        <f t="shared" si="30"/>
        <v>0</v>
      </c>
      <c r="AK101" s="1" t="str">
        <f t="shared" si="31"/>
        <v/>
      </c>
      <c r="AL101" s="1">
        <f t="shared" si="32"/>
        <v>240</v>
      </c>
      <c r="AM101" s="1">
        <f t="shared" si="17"/>
        <v>130</v>
      </c>
      <c r="AN101" s="5">
        <f t="shared" si="18"/>
        <v>445.772696</v>
      </c>
      <c r="AO101" s="1" t="str">
        <f t="shared" si="33"/>
        <v/>
      </c>
    </row>
    <row r="102" spans="1:41">
      <c r="A102" t="s">
        <v>388</v>
      </c>
      <c r="B102" t="s">
        <v>266</v>
      </c>
      <c r="C102" t="s">
        <v>389</v>
      </c>
      <c r="D102">
        <v>1899</v>
      </c>
      <c r="E102">
        <v>599</v>
      </c>
      <c r="F102">
        <v>1</v>
      </c>
      <c r="G102">
        <v>1</v>
      </c>
      <c r="L102" t="s">
        <v>390</v>
      </c>
      <c r="M102" t="s">
        <v>391</v>
      </c>
      <c r="N102" t="s">
        <v>283</v>
      </c>
      <c r="O102">
        <v>0</v>
      </c>
      <c r="P102" t="s">
        <v>381</v>
      </c>
      <c r="Q102" t="s">
        <v>374</v>
      </c>
      <c r="R102">
        <v>3136</v>
      </c>
      <c r="S102" t="s">
        <v>391</v>
      </c>
      <c r="U102" t="s">
        <v>83</v>
      </c>
      <c r="V102" t="s">
        <v>375</v>
      </c>
      <c r="W102">
        <v>12277480</v>
      </c>
      <c r="X102" t="s">
        <v>392</v>
      </c>
      <c r="Y102">
        <f t="shared" si="19"/>
        <v>1.1375010000000001</v>
      </c>
      <c r="Z102">
        <f t="shared" si="20"/>
        <v>4.9960000000000004</v>
      </c>
      <c r="AA102">
        <f t="shared" si="21"/>
        <v>0</v>
      </c>
      <c r="AB102" s="2">
        <f t="shared" si="22"/>
        <v>39</v>
      </c>
      <c r="AC102" s="2">
        <f t="shared" si="23"/>
        <v>0</v>
      </c>
      <c r="AD102" s="2">
        <f t="shared" si="24"/>
        <v>0</v>
      </c>
      <c r="AE102" s="2">
        <f t="shared" si="25"/>
        <v>32</v>
      </c>
      <c r="AF102" s="2">
        <f t="shared" si="26"/>
        <v>18</v>
      </c>
      <c r="AG102" s="2">
        <f t="shared" si="27"/>
        <v>25</v>
      </c>
      <c r="AH102" s="2">
        <f t="shared" si="28"/>
        <v>0</v>
      </c>
      <c r="AI102" s="1">
        <f t="shared" si="29"/>
        <v>179.85600000000002</v>
      </c>
      <c r="AJ102" s="1">
        <f t="shared" si="30"/>
        <v>0</v>
      </c>
      <c r="AK102" s="1" t="str">
        <f t="shared" si="31"/>
        <v/>
      </c>
      <c r="AL102" s="1">
        <f t="shared" si="32"/>
        <v>240</v>
      </c>
      <c r="AM102" s="1">
        <f t="shared" si="17"/>
        <v>130</v>
      </c>
      <c r="AN102" s="5">
        <f t="shared" si="18"/>
        <v>1005.025662</v>
      </c>
      <c r="AO102" s="1" t="str">
        <f t="shared" si="33"/>
        <v/>
      </c>
    </row>
    <row r="103" spans="1:41">
      <c r="A103" t="s">
        <v>393</v>
      </c>
      <c r="B103" t="s">
        <v>394</v>
      </c>
      <c r="C103" t="s">
        <v>395</v>
      </c>
      <c r="D103">
        <v>1196</v>
      </c>
      <c r="E103">
        <v>1196</v>
      </c>
      <c r="F103">
        <v>0</v>
      </c>
      <c r="G103">
        <v>1</v>
      </c>
      <c r="L103" t="s">
        <v>396</v>
      </c>
      <c r="M103" t="s">
        <v>79</v>
      </c>
      <c r="N103" t="s">
        <v>397</v>
      </c>
      <c r="O103">
        <v>0</v>
      </c>
      <c r="P103" t="s">
        <v>398</v>
      </c>
      <c r="Q103" t="s">
        <v>374</v>
      </c>
      <c r="R103">
        <v>3136</v>
      </c>
      <c r="S103" t="s">
        <v>79</v>
      </c>
      <c r="U103" t="s">
        <v>399</v>
      </c>
      <c r="V103" t="s">
        <v>400</v>
      </c>
      <c r="W103">
        <v>12278927</v>
      </c>
      <c r="X103" t="s">
        <v>401</v>
      </c>
      <c r="Y103">
        <f t="shared" si="19"/>
        <v>1.4304159999999999</v>
      </c>
      <c r="Z103">
        <f t="shared" si="20"/>
        <v>4.7839999999999998</v>
      </c>
      <c r="AA103">
        <f t="shared" si="21"/>
        <v>0</v>
      </c>
      <c r="AB103" s="2">
        <f t="shared" si="22"/>
        <v>19</v>
      </c>
      <c r="AC103" s="2">
        <f t="shared" si="23"/>
        <v>0</v>
      </c>
      <c r="AD103" s="2">
        <f t="shared" si="24"/>
        <v>13</v>
      </c>
      <c r="AE103" s="2">
        <f t="shared" si="25"/>
        <v>16</v>
      </c>
      <c r="AF103" s="2">
        <f t="shared" si="26"/>
        <v>0</v>
      </c>
      <c r="AG103" s="2">
        <f t="shared" si="27"/>
        <v>0</v>
      </c>
      <c r="AH103" s="2">
        <f t="shared" si="28"/>
        <v>0</v>
      </c>
      <c r="AI103" s="1">
        <f t="shared" si="29"/>
        <v>172.22399999999999</v>
      </c>
      <c r="AJ103" s="1">
        <f t="shared" si="30"/>
        <v>0</v>
      </c>
      <c r="AK103" s="1">
        <f t="shared" si="31"/>
        <v>220</v>
      </c>
      <c r="AL103" s="1">
        <f t="shared" si="32"/>
        <v>240</v>
      </c>
      <c r="AM103" s="3" t="str">
        <f t="shared" si="17"/>
        <v/>
      </c>
      <c r="AN103" s="5">
        <f t="shared" si="18"/>
        <v>0</v>
      </c>
      <c r="AO103" s="1" t="str">
        <f t="shared" si="33"/>
        <v/>
      </c>
    </row>
    <row r="104" spans="1:41">
      <c r="A104" t="s">
        <v>402</v>
      </c>
      <c r="B104" t="s">
        <v>394</v>
      </c>
      <c r="C104" t="s">
        <v>403</v>
      </c>
      <c r="D104">
        <v>453</v>
      </c>
      <c r="E104">
        <v>179</v>
      </c>
      <c r="F104">
        <v>0</v>
      </c>
      <c r="G104">
        <v>10</v>
      </c>
      <c r="H104">
        <v>1</v>
      </c>
      <c r="I104">
        <v>1</v>
      </c>
      <c r="J104">
        <v>1</v>
      </c>
      <c r="K104">
        <v>1</v>
      </c>
      <c r="L104" t="s">
        <v>404</v>
      </c>
      <c r="M104" t="s">
        <v>405</v>
      </c>
      <c r="N104" t="s">
        <v>397</v>
      </c>
      <c r="O104">
        <v>0</v>
      </c>
      <c r="P104" t="s">
        <v>406</v>
      </c>
      <c r="Q104" t="s">
        <v>374</v>
      </c>
      <c r="R104">
        <v>3136</v>
      </c>
      <c r="S104" t="s">
        <v>405</v>
      </c>
      <c r="U104" t="s">
        <v>83</v>
      </c>
      <c r="V104" t="s">
        <v>407</v>
      </c>
      <c r="W104">
        <v>12277670</v>
      </c>
      <c r="X104" t="s">
        <v>406</v>
      </c>
      <c r="Y104">
        <f t="shared" si="19"/>
        <v>0.81086999999999998</v>
      </c>
      <c r="Z104">
        <f t="shared" si="20"/>
        <v>12.64</v>
      </c>
      <c r="AA104">
        <f t="shared" si="21"/>
        <v>12.64</v>
      </c>
      <c r="AB104" s="2">
        <f t="shared" si="22"/>
        <v>20</v>
      </c>
      <c r="AC104" s="2">
        <f t="shared" si="23"/>
        <v>11</v>
      </c>
      <c r="AD104" s="2">
        <f t="shared" si="24"/>
        <v>0</v>
      </c>
      <c r="AE104" s="2">
        <f t="shared" si="25"/>
        <v>17</v>
      </c>
      <c r="AF104" s="2">
        <f t="shared" si="26"/>
        <v>0</v>
      </c>
      <c r="AG104" s="2">
        <f t="shared" si="27"/>
        <v>0</v>
      </c>
      <c r="AH104" s="2">
        <f t="shared" si="28"/>
        <v>0</v>
      </c>
      <c r="AI104" s="1">
        <f t="shared" si="29"/>
        <v>455.04</v>
      </c>
      <c r="AJ104" s="1">
        <f t="shared" si="30"/>
        <v>758.40000000000009</v>
      </c>
      <c r="AK104" s="1" t="str">
        <f t="shared" si="31"/>
        <v/>
      </c>
      <c r="AL104" s="1">
        <f t="shared" si="32"/>
        <v>2400</v>
      </c>
      <c r="AM104" s="1" t="str">
        <f t="shared" si="17"/>
        <v/>
      </c>
      <c r="AN104" s="5">
        <f t="shared" si="18"/>
        <v>0</v>
      </c>
      <c r="AO104" s="1" t="str">
        <f t="shared" si="33"/>
        <v/>
      </c>
    </row>
    <row r="105" spans="1:41">
      <c r="A105" t="s">
        <v>408</v>
      </c>
      <c r="B105" t="s">
        <v>394</v>
      </c>
      <c r="C105" t="s">
        <v>409</v>
      </c>
      <c r="D105">
        <v>598</v>
      </c>
      <c r="E105">
        <v>458</v>
      </c>
      <c r="F105">
        <v>0</v>
      </c>
      <c r="G105">
        <v>5</v>
      </c>
      <c r="H105">
        <v>1</v>
      </c>
      <c r="I105">
        <v>1</v>
      </c>
      <c r="J105">
        <v>1</v>
      </c>
      <c r="K105">
        <v>1</v>
      </c>
      <c r="L105" t="s">
        <v>410</v>
      </c>
      <c r="M105" t="s">
        <v>411</v>
      </c>
      <c r="N105" t="s">
        <v>397</v>
      </c>
      <c r="O105">
        <v>0</v>
      </c>
      <c r="P105" t="s">
        <v>406</v>
      </c>
      <c r="Q105" t="s">
        <v>374</v>
      </c>
      <c r="R105">
        <v>3136</v>
      </c>
      <c r="S105" t="s">
        <v>411</v>
      </c>
      <c r="U105" t="s">
        <v>83</v>
      </c>
      <c r="V105" t="s">
        <v>407</v>
      </c>
      <c r="W105">
        <v>12277673</v>
      </c>
      <c r="X105" t="s">
        <v>406</v>
      </c>
      <c r="Y105">
        <f t="shared" si="19"/>
        <v>1.3694200000000001</v>
      </c>
      <c r="Z105">
        <f t="shared" si="20"/>
        <v>10.56</v>
      </c>
      <c r="AA105">
        <f t="shared" si="21"/>
        <v>10.56</v>
      </c>
      <c r="AB105" s="2">
        <f t="shared" si="22"/>
        <v>14</v>
      </c>
      <c r="AC105" s="2">
        <f t="shared" si="23"/>
        <v>11</v>
      </c>
      <c r="AD105" s="2">
        <f t="shared" si="24"/>
        <v>0</v>
      </c>
      <c r="AE105" s="2">
        <f t="shared" si="25"/>
        <v>0</v>
      </c>
      <c r="AF105" s="2">
        <f t="shared" si="26"/>
        <v>8</v>
      </c>
      <c r="AG105" s="2">
        <f t="shared" si="27"/>
        <v>0</v>
      </c>
      <c r="AH105" s="2">
        <f t="shared" si="28"/>
        <v>0</v>
      </c>
      <c r="AI105" s="1">
        <f t="shared" si="29"/>
        <v>380.16</v>
      </c>
      <c r="AJ105" s="1">
        <f t="shared" si="30"/>
        <v>633.6</v>
      </c>
      <c r="AK105" s="1" t="str">
        <f t="shared" si="31"/>
        <v/>
      </c>
      <c r="AL105" s="1" t="str">
        <f t="shared" si="32"/>
        <v/>
      </c>
      <c r="AM105" s="1">
        <f t="shared" si="17"/>
        <v>650</v>
      </c>
      <c r="AN105" s="5">
        <f t="shared" si="18"/>
        <v>0</v>
      </c>
      <c r="AO105" s="1" t="str">
        <f t="shared" si="33"/>
        <v/>
      </c>
    </row>
    <row r="106" spans="1:41">
      <c r="A106" t="s">
        <v>412</v>
      </c>
      <c r="B106" t="s">
        <v>394</v>
      </c>
      <c r="C106" t="s">
        <v>413</v>
      </c>
      <c r="D106">
        <v>453</v>
      </c>
      <c r="E106">
        <v>179</v>
      </c>
      <c r="F106">
        <v>0</v>
      </c>
      <c r="G106">
        <v>5</v>
      </c>
      <c r="H106">
        <v>1</v>
      </c>
      <c r="I106">
        <v>1</v>
      </c>
      <c r="J106">
        <v>1</v>
      </c>
      <c r="K106">
        <v>1</v>
      </c>
      <c r="L106" t="s">
        <v>414</v>
      </c>
      <c r="M106" t="s">
        <v>415</v>
      </c>
      <c r="N106" t="s">
        <v>397</v>
      </c>
      <c r="O106">
        <v>0</v>
      </c>
      <c r="P106" t="s">
        <v>406</v>
      </c>
      <c r="Q106" t="s">
        <v>374</v>
      </c>
      <c r="R106">
        <v>3136</v>
      </c>
      <c r="S106" t="s">
        <v>415</v>
      </c>
      <c r="U106" t="s">
        <v>83</v>
      </c>
      <c r="V106" t="s">
        <v>407</v>
      </c>
      <c r="W106">
        <v>12277667</v>
      </c>
      <c r="X106" t="s">
        <v>406</v>
      </c>
      <c r="Y106">
        <f t="shared" si="19"/>
        <v>0.40543499999999999</v>
      </c>
      <c r="Z106">
        <f t="shared" si="20"/>
        <v>6.32</v>
      </c>
      <c r="AA106">
        <f t="shared" si="21"/>
        <v>6.32</v>
      </c>
      <c r="AB106" s="2">
        <f t="shared" si="22"/>
        <v>23</v>
      </c>
      <c r="AC106" s="2">
        <f t="shared" si="23"/>
        <v>14</v>
      </c>
      <c r="AD106" s="2">
        <f t="shared" si="24"/>
        <v>0</v>
      </c>
      <c r="AE106" s="2">
        <f t="shared" si="25"/>
        <v>17</v>
      </c>
      <c r="AF106" s="2">
        <f t="shared" si="26"/>
        <v>11</v>
      </c>
      <c r="AG106" s="2">
        <f t="shared" si="27"/>
        <v>0</v>
      </c>
      <c r="AH106" s="2">
        <f t="shared" si="28"/>
        <v>0</v>
      </c>
      <c r="AI106" s="1">
        <f t="shared" si="29"/>
        <v>227.52</v>
      </c>
      <c r="AJ106" s="1">
        <f t="shared" si="30"/>
        <v>379.20000000000005</v>
      </c>
      <c r="AK106" s="1" t="str">
        <f t="shared" si="31"/>
        <v/>
      </c>
      <c r="AL106" s="1">
        <f t="shared" si="32"/>
        <v>1200</v>
      </c>
      <c r="AM106" s="1">
        <f t="shared" si="17"/>
        <v>650</v>
      </c>
      <c r="AN106" s="5">
        <f t="shared" si="18"/>
        <v>0</v>
      </c>
      <c r="AO106" s="1" t="str">
        <f t="shared" si="33"/>
        <v/>
      </c>
    </row>
    <row r="107" spans="1:41">
      <c r="A107" t="s">
        <v>416</v>
      </c>
      <c r="B107" t="s">
        <v>394</v>
      </c>
      <c r="C107" t="s">
        <v>417</v>
      </c>
      <c r="D107">
        <v>741</v>
      </c>
      <c r="E107">
        <v>365</v>
      </c>
      <c r="F107">
        <v>0</v>
      </c>
      <c r="G107">
        <v>2</v>
      </c>
      <c r="H107">
        <v>1</v>
      </c>
      <c r="I107">
        <v>1</v>
      </c>
      <c r="J107">
        <v>1</v>
      </c>
      <c r="K107">
        <v>1</v>
      </c>
      <c r="L107" t="s">
        <v>418</v>
      </c>
      <c r="M107" t="s">
        <v>419</v>
      </c>
      <c r="N107" t="s">
        <v>397</v>
      </c>
      <c r="O107">
        <v>0</v>
      </c>
      <c r="P107" t="s">
        <v>420</v>
      </c>
      <c r="Q107" t="s">
        <v>374</v>
      </c>
      <c r="R107">
        <v>3136</v>
      </c>
      <c r="S107" t="s">
        <v>419</v>
      </c>
      <c r="U107" t="s">
        <v>83</v>
      </c>
      <c r="V107" t="s">
        <v>421</v>
      </c>
      <c r="W107">
        <v>12278204</v>
      </c>
      <c r="X107" t="s">
        <v>422</v>
      </c>
      <c r="Y107">
        <f t="shared" si="19"/>
        <v>0.54093000000000002</v>
      </c>
      <c r="Z107">
        <f t="shared" si="20"/>
        <v>4.4240000000000004</v>
      </c>
      <c r="AA107">
        <f t="shared" si="21"/>
        <v>4.4240000000000004</v>
      </c>
      <c r="AB107" s="2">
        <f t="shared" si="22"/>
        <v>19</v>
      </c>
      <c r="AC107" s="2">
        <f t="shared" si="23"/>
        <v>16</v>
      </c>
      <c r="AD107" s="2">
        <f t="shared" si="24"/>
        <v>0</v>
      </c>
      <c r="AE107" s="2">
        <f t="shared" si="25"/>
        <v>0</v>
      </c>
      <c r="AF107" s="2">
        <f t="shared" si="26"/>
        <v>13</v>
      </c>
      <c r="AG107" s="2">
        <f t="shared" si="27"/>
        <v>0</v>
      </c>
      <c r="AH107" s="2">
        <f t="shared" si="28"/>
        <v>0</v>
      </c>
      <c r="AI107" s="1">
        <f t="shared" si="29"/>
        <v>159.26400000000001</v>
      </c>
      <c r="AJ107" s="1">
        <f t="shared" si="30"/>
        <v>265.44</v>
      </c>
      <c r="AK107" s="1" t="str">
        <f t="shared" si="31"/>
        <v/>
      </c>
      <c r="AL107" s="1" t="str">
        <f t="shared" si="32"/>
        <v/>
      </c>
      <c r="AM107" s="1">
        <f t="shared" si="17"/>
        <v>260</v>
      </c>
      <c r="AN107" s="5">
        <f t="shared" si="18"/>
        <v>0</v>
      </c>
      <c r="AO107" s="1" t="str">
        <f t="shared" si="33"/>
        <v/>
      </c>
    </row>
    <row r="108" spans="1:41">
      <c r="A108" t="s">
        <v>423</v>
      </c>
      <c r="B108" t="s">
        <v>394</v>
      </c>
      <c r="C108" t="s">
        <v>424</v>
      </c>
      <c r="D108">
        <v>705</v>
      </c>
      <c r="E108">
        <v>73</v>
      </c>
      <c r="F108">
        <v>0</v>
      </c>
      <c r="G108">
        <v>8</v>
      </c>
      <c r="H108">
        <v>1</v>
      </c>
      <c r="I108">
        <v>1</v>
      </c>
      <c r="J108">
        <v>1</v>
      </c>
      <c r="K108">
        <v>1</v>
      </c>
      <c r="L108" t="s">
        <v>425</v>
      </c>
      <c r="M108" t="s">
        <v>426</v>
      </c>
      <c r="N108" t="s">
        <v>397</v>
      </c>
      <c r="O108">
        <v>0</v>
      </c>
      <c r="P108" t="s">
        <v>420</v>
      </c>
      <c r="Q108" t="s">
        <v>374</v>
      </c>
      <c r="R108">
        <v>3136</v>
      </c>
      <c r="S108" t="s">
        <v>426</v>
      </c>
      <c r="U108" t="s">
        <v>83</v>
      </c>
      <c r="V108" t="s">
        <v>421</v>
      </c>
      <c r="W108">
        <v>12278201</v>
      </c>
      <c r="X108" t="s">
        <v>422</v>
      </c>
      <c r="Y108">
        <f t="shared" si="19"/>
        <v>0.41171999999999997</v>
      </c>
      <c r="Z108">
        <f t="shared" si="20"/>
        <v>12.448</v>
      </c>
      <c r="AA108">
        <f t="shared" si="21"/>
        <v>12.448</v>
      </c>
      <c r="AB108" s="2">
        <f t="shared" si="22"/>
        <v>16</v>
      </c>
      <c r="AC108" s="2">
        <f t="shared" si="23"/>
        <v>13</v>
      </c>
      <c r="AD108" s="2">
        <f t="shared" si="24"/>
        <v>0</v>
      </c>
      <c r="AE108" s="2">
        <f t="shared" si="25"/>
        <v>0</v>
      </c>
      <c r="AF108" s="2">
        <f t="shared" si="26"/>
        <v>10</v>
      </c>
      <c r="AG108" s="2">
        <f t="shared" si="27"/>
        <v>0</v>
      </c>
      <c r="AH108" s="2">
        <f t="shared" si="28"/>
        <v>0</v>
      </c>
      <c r="AI108" s="1">
        <f t="shared" si="29"/>
        <v>448.12800000000004</v>
      </c>
      <c r="AJ108" s="1">
        <f t="shared" si="30"/>
        <v>746.88</v>
      </c>
      <c r="AK108" s="1" t="str">
        <f t="shared" si="31"/>
        <v/>
      </c>
      <c r="AL108" s="1" t="str">
        <f t="shared" si="32"/>
        <v/>
      </c>
      <c r="AM108" s="1">
        <f t="shared" si="17"/>
        <v>1040</v>
      </c>
      <c r="AN108" s="5">
        <f t="shared" si="18"/>
        <v>0</v>
      </c>
      <c r="AO108" s="1" t="str">
        <f t="shared" si="33"/>
        <v/>
      </c>
    </row>
    <row r="109" spans="1:41">
      <c r="A109" t="s">
        <v>427</v>
      </c>
      <c r="B109" t="s">
        <v>394</v>
      </c>
      <c r="C109" t="s">
        <v>428</v>
      </c>
      <c r="D109">
        <v>741</v>
      </c>
      <c r="E109">
        <v>354</v>
      </c>
      <c r="F109">
        <v>0</v>
      </c>
      <c r="G109">
        <v>2</v>
      </c>
      <c r="H109">
        <v>1</v>
      </c>
      <c r="I109">
        <v>1</v>
      </c>
      <c r="J109">
        <v>1</v>
      </c>
      <c r="K109">
        <v>1</v>
      </c>
      <c r="L109" t="s">
        <v>429</v>
      </c>
      <c r="M109" t="s">
        <v>430</v>
      </c>
      <c r="N109" t="s">
        <v>397</v>
      </c>
      <c r="O109">
        <v>0</v>
      </c>
      <c r="P109" t="s">
        <v>420</v>
      </c>
      <c r="Q109" t="s">
        <v>374</v>
      </c>
      <c r="R109">
        <v>3136</v>
      </c>
      <c r="S109" t="s">
        <v>430</v>
      </c>
      <c r="U109" t="s">
        <v>83</v>
      </c>
      <c r="V109" t="s">
        <v>421</v>
      </c>
      <c r="W109">
        <v>12278207</v>
      </c>
      <c r="X109" t="s">
        <v>422</v>
      </c>
      <c r="Y109">
        <f t="shared" si="19"/>
        <v>0.52462799999999998</v>
      </c>
      <c r="Z109">
        <f t="shared" si="20"/>
        <v>4.38</v>
      </c>
      <c r="AA109">
        <f t="shared" si="21"/>
        <v>4.38</v>
      </c>
      <c r="AB109" s="2">
        <f t="shared" si="22"/>
        <v>19</v>
      </c>
      <c r="AC109" s="2">
        <f t="shared" si="23"/>
        <v>16</v>
      </c>
      <c r="AD109" s="2">
        <f t="shared" si="24"/>
        <v>0</v>
      </c>
      <c r="AE109" s="2">
        <f t="shared" si="25"/>
        <v>0</v>
      </c>
      <c r="AF109" s="2">
        <f t="shared" si="26"/>
        <v>13</v>
      </c>
      <c r="AG109" s="2">
        <f t="shared" si="27"/>
        <v>0</v>
      </c>
      <c r="AH109" s="2">
        <f t="shared" si="28"/>
        <v>0</v>
      </c>
      <c r="AI109" s="1">
        <f t="shared" si="29"/>
        <v>157.68</v>
      </c>
      <c r="AJ109" s="1">
        <f t="shared" si="30"/>
        <v>262.8</v>
      </c>
      <c r="AK109" s="1" t="str">
        <f t="shared" si="31"/>
        <v/>
      </c>
      <c r="AL109" s="1" t="str">
        <f t="shared" si="32"/>
        <v/>
      </c>
      <c r="AM109" s="1">
        <f t="shared" si="17"/>
        <v>260</v>
      </c>
      <c r="AN109" s="5">
        <f t="shared" si="18"/>
        <v>0</v>
      </c>
      <c r="AO109" s="1" t="str">
        <f t="shared" si="33"/>
        <v/>
      </c>
    </row>
    <row r="110" spans="1:41">
      <c r="A110" t="s">
        <v>431</v>
      </c>
      <c r="B110" t="s">
        <v>394</v>
      </c>
      <c r="C110" t="s">
        <v>432</v>
      </c>
      <c r="D110">
        <v>1460</v>
      </c>
      <c r="E110">
        <v>491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 t="s">
        <v>433</v>
      </c>
      <c r="M110" t="s">
        <v>434</v>
      </c>
      <c r="N110" t="s">
        <v>435</v>
      </c>
      <c r="O110">
        <v>0</v>
      </c>
      <c r="P110" t="s">
        <v>420</v>
      </c>
      <c r="Q110" t="s">
        <v>374</v>
      </c>
      <c r="R110">
        <v>3136</v>
      </c>
      <c r="S110" t="s">
        <v>434</v>
      </c>
      <c r="U110" t="s">
        <v>83</v>
      </c>
      <c r="V110" t="s">
        <v>421</v>
      </c>
      <c r="W110">
        <v>12278210</v>
      </c>
      <c r="X110" t="s">
        <v>422</v>
      </c>
      <c r="Y110">
        <f t="shared" si="19"/>
        <v>0.71686000000000005</v>
      </c>
      <c r="Z110">
        <f t="shared" si="20"/>
        <v>3.9020000000000001</v>
      </c>
      <c r="AA110">
        <f t="shared" si="21"/>
        <v>3.9020000000000001</v>
      </c>
      <c r="AB110" s="2">
        <f t="shared" si="22"/>
        <v>19</v>
      </c>
      <c r="AC110" s="2">
        <f t="shared" si="23"/>
        <v>16</v>
      </c>
      <c r="AD110" s="2">
        <f t="shared" si="24"/>
        <v>0</v>
      </c>
      <c r="AE110" s="2">
        <f t="shared" si="25"/>
        <v>0</v>
      </c>
      <c r="AF110" s="2">
        <f t="shared" si="26"/>
        <v>13</v>
      </c>
      <c r="AG110" s="2">
        <f t="shared" si="27"/>
        <v>0</v>
      </c>
      <c r="AH110" s="2">
        <f t="shared" si="28"/>
        <v>0</v>
      </c>
      <c r="AI110" s="1">
        <f t="shared" si="29"/>
        <v>140.47200000000001</v>
      </c>
      <c r="AJ110" s="1">
        <f t="shared" si="30"/>
        <v>234.12</v>
      </c>
      <c r="AK110" s="1" t="str">
        <f t="shared" si="31"/>
        <v/>
      </c>
      <c r="AL110" s="1" t="str">
        <f t="shared" si="32"/>
        <v/>
      </c>
      <c r="AM110" s="1">
        <f t="shared" si="17"/>
        <v>130</v>
      </c>
      <c r="AN110" s="5">
        <f t="shared" si="18"/>
        <v>0</v>
      </c>
      <c r="AO110" s="1" t="str">
        <f t="shared" si="33"/>
        <v/>
      </c>
    </row>
    <row r="111" spans="1:41">
      <c r="A111" t="s">
        <v>436</v>
      </c>
      <c r="B111" t="s">
        <v>394</v>
      </c>
      <c r="C111" t="s">
        <v>437</v>
      </c>
      <c r="D111">
        <v>698</v>
      </c>
      <c r="E111">
        <v>498</v>
      </c>
      <c r="F111">
        <v>0</v>
      </c>
      <c r="G111">
        <v>2</v>
      </c>
      <c r="H111">
        <v>1</v>
      </c>
      <c r="I111">
        <v>1</v>
      </c>
      <c r="J111">
        <v>1</v>
      </c>
      <c r="K111">
        <v>1</v>
      </c>
      <c r="L111" t="s">
        <v>438</v>
      </c>
      <c r="M111" t="s">
        <v>439</v>
      </c>
      <c r="N111" t="s">
        <v>440</v>
      </c>
      <c r="O111">
        <v>0</v>
      </c>
      <c r="P111" t="s">
        <v>441</v>
      </c>
      <c r="Q111" t="s">
        <v>374</v>
      </c>
      <c r="R111">
        <v>3136</v>
      </c>
      <c r="S111" t="s">
        <v>439</v>
      </c>
      <c r="U111" t="s">
        <v>83</v>
      </c>
      <c r="V111" t="s">
        <v>234</v>
      </c>
      <c r="W111">
        <v>12278983</v>
      </c>
      <c r="X111" t="s">
        <v>442</v>
      </c>
      <c r="Y111">
        <f t="shared" si="19"/>
        <v>0.69520800000000005</v>
      </c>
      <c r="Z111">
        <f t="shared" si="20"/>
        <v>4.7839999999999998</v>
      </c>
      <c r="AA111">
        <f t="shared" si="21"/>
        <v>4.7839999999999998</v>
      </c>
      <c r="AB111" s="2">
        <f t="shared" si="22"/>
        <v>29</v>
      </c>
      <c r="AC111" s="2">
        <f t="shared" si="23"/>
        <v>21</v>
      </c>
      <c r="AD111" s="2">
        <f t="shared" si="24"/>
        <v>0</v>
      </c>
      <c r="AE111" s="2">
        <f t="shared" si="25"/>
        <v>0</v>
      </c>
      <c r="AF111" s="2">
        <f t="shared" si="26"/>
        <v>0</v>
      </c>
      <c r="AG111" s="2">
        <f t="shared" si="27"/>
        <v>0</v>
      </c>
      <c r="AH111" s="2">
        <f t="shared" si="28"/>
        <v>0</v>
      </c>
      <c r="AI111" s="1">
        <f t="shared" si="29"/>
        <v>172.22399999999999</v>
      </c>
      <c r="AJ111" s="1">
        <f t="shared" si="30"/>
        <v>287.03999999999996</v>
      </c>
      <c r="AK111" s="1" t="str">
        <f t="shared" si="31"/>
        <v/>
      </c>
      <c r="AL111" s="1" t="str">
        <f t="shared" si="32"/>
        <v/>
      </c>
      <c r="AM111" s="1" t="str">
        <f t="shared" si="17"/>
        <v/>
      </c>
      <c r="AN111" s="5">
        <f t="shared" si="18"/>
        <v>0</v>
      </c>
      <c r="AO111" s="1" t="str">
        <f t="shared" si="33"/>
        <v/>
      </c>
    </row>
    <row r="112" spans="1:41">
      <c r="A112" t="s">
        <v>443</v>
      </c>
      <c r="B112" t="s">
        <v>394</v>
      </c>
      <c r="C112" t="s">
        <v>444</v>
      </c>
      <c r="D112">
        <v>896</v>
      </c>
      <c r="E112">
        <v>300</v>
      </c>
      <c r="F112">
        <v>0</v>
      </c>
      <c r="G112">
        <v>3</v>
      </c>
      <c r="H112">
        <v>1</v>
      </c>
      <c r="I112">
        <v>1</v>
      </c>
      <c r="J112">
        <v>1</v>
      </c>
      <c r="K112">
        <v>1</v>
      </c>
      <c r="L112" t="s">
        <v>445</v>
      </c>
      <c r="M112" t="s">
        <v>446</v>
      </c>
      <c r="N112" t="s">
        <v>440</v>
      </c>
      <c r="O112">
        <v>0</v>
      </c>
      <c r="P112" t="s">
        <v>373</v>
      </c>
      <c r="Q112" t="s">
        <v>374</v>
      </c>
      <c r="R112">
        <v>3136</v>
      </c>
      <c r="S112" t="s">
        <v>446</v>
      </c>
      <c r="U112" t="s">
        <v>83</v>
      </c>
      <c r="V112" t="s">
        <v>375</v>
      </c>
      <c r="W112">
        <v>12276831</v>
      </c>
      <c r="X112" t="s">
        <v>447</v>
      </c>
      <c r="Y112">
        <f t="shared" si="19"/>
        <v>0.80640000000000001</v>
      </c>
      <c r="Z112">
        <f t="shared" si="20"/>
        <v>7.1760000000000002</v>
      </c>
      <c r="AA112">
        <f t="shared" si="21"/>
        <v>7.1760000000000002</v>
      </c>
      <c r="AB112" s="2">
        <f t="shared" si="22"/>
        <v>62</v>
      </c>
      <c r="AC112" s="2">
        <f t="shared" si="23"/>
        <v>48</v>
      </c>
      <c r="AD112" s="2">
        <f t="shared" si="24"/>
        <v>0</v>
      </c>
      <c r="AE112" s="2">
        <f t="shared" si="25"/>
        <v>55</v>
      </c>
      <c r="AF112" s="2">
        <f t="shared" si="26"/>
        <v>0</v>
      </c>
      <c r="AG112" s="2">
        <f t="shared" si="27"/>
        <v>0</v>
      </c>
      <c r="AH112" s="2">
        <f t="shared" si="28"/>
        <v>0</v>
      </c>
      <c r="AI112" s="1">
        <f t="shared" si="29"/>
        <v>258.33600000000001</v>
      </c>
      <c r="AJ112" s="1">
        <f t="shared" si="30"/>
        <v>430.56</v>
      </c>
      <c r="AK112" s="1" t="str">
        <f t="shared" si="31"/>
        <v/>
      </c>
      <c r="AL112" s="1">
        <f t="shared" si="32"/>
        <v>720</v>
      </c>
      <c r="AM112" s="1" t="str">
        <f t="shared" si="17"/>
        <v/>
      </c>
      <c r="AN112" s="5">
        <f t="shared" si="18"/>
        <v>0</v>
      </c>
      <c r="AO112" s="1" t="str">
        <f t="shared" si="33"/>
        <v/>
      </c>
    </row>
    <row r="113" spans="1:41">
      <c r="A113" t="s">
        <v>448</v>
      </c>
      <c r="B113" t="s">
        <v>394</v>
      </c>
      <c r="C113" t="s">
        <v>449</v>
      </c>
      <c r="D113">
        <v>896</v>
      </c>
      <c r="E113">
        <v>300</v>
      </c>
      <c r="F113">
        <v>0</v>
      </c>
      <c r="G113">
        <v>3</v>
      </c>
      <c r="H113">
        <v>1</v>
      </c>
      <c r="I113">
        <v>1</v>
      </c>
      <c r="J113">
        <v>1</v>
      </c>
      <c r="K113">
        <v>1</v>
      </c>
      <c r="L113" t="s">
        <v>445</v>
      </c>
      <c r="M113" t="s">
        <v>446</v>
      </c>
      <c r="N113" t="s">
        <v>440</v>
      </c>
      <c r="O113">
        <v>0</v>
      </c>
      <c r="P113" t="s">
        <v>378</v>
      </c>
      <c r="Q113" t="s">
        <v>374</v>
      </c>
      <c r="R113">
        <v>3136</v>
      </c>
      <c r="S113" t="s">
        <v>446</v>
      </c>
      <c r="U113" t="s">
        <v>83</v>
      </c>
      <c r="V113" t="s">
        <v>375</v>
      </c>
      <c r="W113">
        <v>12277163</v>
      </c>
      <c r="X113" t="s">
        <v>450</v>
      </c>
      <c r="Y113">
        <f t="shared" si="19"/>
        <v>0.80640000000000001</v>
      </c>
      <c r="Z113">
        <f t="shared" si="20"/>
        <v>7.1760000000000002</v>
      </c>
      <c r="AA113">
        <f t="shared" si="21"/>
        <v>7.1760000000000002</v>
      </c>
      <c r="AB113" s="2">
        <f t="shared" si="22"/>
        <v>72</v>
      </c>
      <c r="AC113" s="2">
        <f t="shared" si="23"/>
        <v>52</v>
      </c>
      <c r="AD113" s="2">
        <f t="shared" si="24"/>
        <v>0</v>
      </c>
      <c r="AE113" s="2">
        <f t="shared" si="25"/>
        <v>62</v>
      </c>
      <c r="AF113" s="2">
        <f t="shared" si="26"/>
        <v>0</v>
      </c>
      <c r="AG113" s="2">
        <f t="shared" si="27"/>
        <v>0</v>
      </c>
      <c r="AH113" s="2">
        <f t="shared" si="28"/>
        <v>0</v>
      </c>
      <c r="AI113" s="1">
        <f t="shared" si="29"/>
        <v>258.33600000000001</v>
      </c>
      <c r="AJ113" s="1">
        <f t="shared" si="30"/>
        <v>430.56</v>
      </c>
      <c r="AK113" s="1" t="str">
        <f t="shared" si="31"/>
        <v/>
      </c>
      <c r="AL113" s="1">
        <f t="shared" si="32"/>
        <v>720</v>
      </c>
      <c r="AM113" s="1" t="str">
        <f t="shared" si="17"/>
        <v/>
      </c>
      <c r="AN113" s="5">
        <f t="shared" si="18"/>
        <v>0</v>
      </c>
      <c r="AO113" s="1" t="str">
        <f t="shared" si="33"/>
        <v/>
      </c>
    </row>
    <row r="114" spans="1:41">
      <c r="A114" t="s">
        <v>443</v>
      </c>
      <c r="B114" t="s">
        <v>394</v>
      </c>
      <c r="C114" t="s">
        <v>451</v>
      </c>
      <c r="D114">
        <v>896</v>
      </c>
      <c r="E114">
        <v>300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 t="s">
        <v>445</v>
      </c>
      <c r="M114" t="s">
        <v>446</v>
      </c>
      <c r="N114" t="s">
        <v>440</v>
      </c>
      <c r="O114">
        <v>0</v>
      </c>
      <c r="P114" t="s">
        <v>381</v>
      </c>
      <c r="Q114" t="s">
        <v>374</v>
      </c>
      <c r="R114">
        <v>3136</v>
      </c>
      <c r="S114" t="s">
        <v>446</v>
      </c>
      <c r="U114" t="s">
        <v>83</v>
      </c>
      <c r="V114" t="s">
        <v>375</v>
      </c>
      <c r="W114">
        <v>12277457</v>
      </c>
      <c r="X114" t="s">
        <v>447</v>
      </c>
      <c r="Y114">
        <f t="shared" si="19"/>
        <v>0.26879999999999998</v>
      </c>
      <c r="Z114">
        <f t="shared" si="20"/>
        <v>2.3919999999999999</v>
      </c>
      <c r="AA114">
        <f t="shared" si="21"/>
        <v>2.3919999999999999</v>
      </c>
      <c r="AB114" s="2">
        <f t="shared" si="22"/>
        <v>62</v>
      </c>
      <c r="AC114" s="2">
        <f t="shared" si="23"/>
        <v>48</v>
      </c>
      <c r="AD114" s="2">
        <f t="shared" si="24"/>
        <v>0</v>
      </c>
      <c r="AE114" s="2">
        <f t="shared" si="25"/>
        <v>55</v>
      </c>
      <c r="AF114" s="2">
        <f t="shared" si="26"/>
        <v>0</v>
      </c>
      <c r="AG114" s="2">
        <f t="shared" si="27"/>
        <v>0</v>
      </c>
      <c r="AH114" s="2">
        <f t="shared" si="28"/>
        <v>0</v>
      </c>
      <c r="AI114" s="1">
        <f t="shared" si="29"/>
        <v>86.111999999999995</v>
      </c>
      <c r="AJ114" s="1">
        <f t="shared" si="30"/>
        <v>143.51999999999998</v>
      </c>
      <c r="AK114" s="1" t="str">
        <f t="shared" si="31"/>
        <v/>
      </c>
      <c r="AL114" s="1">
        <f t="shared" si="32"/>
        <v>240</v>
      </c>
      <c r="AM114" s="1" t="str">
        <f t="shared" si="17"/>
        <v/>
      </c>
      <c r="AN114" s="5">
        <f t="shared" si="18"/>
        <v>0</v>
      </c>
      <c r="AO114" s="1" t="str">
        <f t="shared" si="33"/>
        <v/>
      </c>
    </row>
    <row r="115" spans="1:41">
      <c r="A115" t="s">
        <v>452</v>
      </c>
      <c r="B115" t="s">
        <v>394</v>
      </c>
      <c r="C115" t="s">
        <v>453</v>
      </c>
      <c r="D115">
        <v>895</v>
      </c>
      <c r="E115">
        <v>274</v>
      </c>
      <c r="F115">
        <v>0</v>
      </c>
      <c r="G115">
        <v>3</v>
      </c>
      <c r="H115">
        <v>1</v>
      </c>
      <c r="I115">
        <v>1</v>
      </c>
      <c r="J115">
        <v>1</v>
      </c>
      <c r="K115">
        <v>1</v>
      </c>
      <c r="L115" t="s">
        <v>454</v>
      </c>
      <c r="M115" t="s">
        <v>455</v>
      </c>
      <c r="N115" t="s">
        <v>440</v>
      </c>
      <c r="O115">
        <v>0</v>
      </c>
      <c r="P115" t="s">
        <v>373</v>
      </c>
      <c r="Q115" t="s">
        <v>374</v>
      </c>
      <c r="R115">
        <v>3136</v>
      </c>
      <c r="S115" t="s">
        <v>455</v>
      </c>
      <c r="U115" t="s">
        <v>83</v>
      </c>
      <c r="V115" t="s">
        <v>375</v>
      </c>
      <c r="W115">
        <v>12276835</v>
      </c>
      <c r="X115" t="s">
        <v>447</v>
      </c>
      <c r="Y115">
        <f t="shared" si="19"/>
        <v>0.73568999999999996</v>
      </c>
      <c r="Z115">
        <f t="shared" si="20"/>
        <v>7.0140000000000002</v>
      </c>
      <c r="AA115">
        <f t="shared" si="21"/>
        <v>7.0140000000000002</v>
      </c>
      <c r="AB115" s="2">
        <f t="shared" si="22"/>
        <v>46</v>
      </c>
      <c r="AC115" s="2">
        <f t="shared" si="23"/>
        <v>39</v>
      </c>
      <c r="AD115" s="2">
        <f t="shared" si="24"/>
        <v>0</v>
      </c>
      <c r="AE115" s="2">
        <f t="shared" si="25"/>
        <v>0</v>
      </c>
      <c r="AF115" s="2">
        <f t="shared" si="26"/>
        <v>32</v>
      </c>
      <c r="AG115" s="2">
        <f t="shared" si="27"/>
        <v>0</v>
      </c>
      <c r="AH115" s="2">
        <f t="shared" si="28"/>
        <v>0</v>
      </c>
      <c r="AI115" s="1">
        <f t="shared" si="29"/>
        <v>252.50400000000002</v>
      </c>
      <c r="AJ115" s="1">
        <f t="shared" si="30"/>
        <v>420.84000000000003</v>
      </c>
      <c r="AK115" s="1" t="str">
        <f t="shared" si="31"/>
        <v/>
      </c>
      <c r="AL115" s="1" t="str">
        <f t="shared" si="32"/>
        <v/>
      </c>
      <c r="AM115" s="1">
        <f t="shared" si="17"/>
        <v>390</v>
      </c>
      <c r="AN115" s="5">
        <f t="shared" si="18"/>
        <v>0</v>
      </c>
      <c r="AO115" s="1" t="str">
        <f t="shared" si="33"/>
        <v/>
      </c>
    </row>
    <row r="116" spans="1:41">
      <c r="A116" t="s">
        <v>452</v>
      </c>
      <c r="B116" t="s">
        <v>394</v>
      </c>
      <c r="C116" t="s">
        <v>456</v>
      </c>
      <c r="D116">
        <v>895</v>
      </c>
      <c r="E116">
        <v>274</v>
      </c>
      <c r="F116">
        <v>0</v>
      </c>
      <c r="G116">
        <v>3</v>
      </c>
      <c r="H116">
        <v>1</v>
      </c>
      <c r="I116">
        <v>1</v>
      </c>
      <c r="J116">
        <v>1</v>
      </c>
      <c r="K116">
        <v>1</v>
      </c>
      <c r="L116" t="s">
        <v>454</v>
      </c>
      <c r="M116" t="s">
        <v>455</v>
      </c>
      <c r="N116" t="s">
        <v>440</v>
      </c>
      <c r="O116">
        <v>0</v>
      </c>
      <c r="P116" t="s">
        <v>378</v>
      </c>
      <c r="Q116" t="s">
        <v>374</v>
      </c>
      <c r="R116">
        <v>3136</v>
      </c>
      <c r="S116" t="s">
        <v>455</v>
      </c>
      <c r="U116" t="s">
        <v>83</v>
      </c>
      <c r="V116" t="s">
        <v>375</v>
      </c>
      <c r="W116">
        <v>12277167</v>
      </c>
      <c r="X116" t="s">
        <v>450</v>
      </c>
      <c r="Y116">
        <f t="shared" si="19"/>
        <v>0.73568999999999996</v>
      </c>
      <c r="Z116">
        <f t="shared" si="20"/>
        <v>7.0140000000000002</v>
      </c>
      <c r="AA116">
        <f t="shared" si="21"/>
        <v>7.0140000000000002</v>
      </c>
      <c r="AB116" s="2">
        <f t="shared" si="22"/>
        <v>46</v>
      </c>
      <c r="AC116" s="2">
        <f t="shared" si="23"/>
        <v>39</v>
      </c>
      <c r="AD116" s="2">
        <f t="shared" si="24"/>
        <v>0</v>
      </c>
      <c r="AE116" s="2">
        <f t="shared" si="25"/>
        <v>0</v>
      </c>
      <c r="AF116" s="2">
        <f t="shared" si="26"/>
        <v>32</v>
      </c>
      <c r="AG116" s="2">
        <f t="shared" si="27"/>
        <v>0</v>
      </c>
      <c r="AH116" s="2">
        <f t="shared" si="28"/>
        <v>0</v>
      </c>
      <c r="AI116" s="1">
        <f t="shared" si="29"/>
        <v>252.50400000000002</v>
      </c>
      <c r="AJ116" s="1">
        <f t="shared" si="30"/>
        <v>420.84000000000003</v>
      </c>
      <c r="AK116" s="1" t="str">
        <f t="shared" si="31"/>
        <v/>
      </c>
      <c r="AL116" s="1" t="str">
        <f t="shared" si="32"/>
        <v/>
      </c>
      <c r="AM116" s="1">
        <f t="shared" si="17"/>
        <v>390</v>
      </c>
      <c r="AN116" s="5">
        <f t="shared" si="18"/>
        <v>0</v>
      </c>
      <c r="AO116" s="1" t="str">
        <f t="shared" si="33"/>
        <v/>
      </c>
    </row>
    <row r="117" spans="1:41">
      <c r="A117" t="s">
        <v>452</v>
      </c>
      <c r="B117" t="s">
        <v>394</v>
      </c>
      <c r="C117" t="s">
        <v>457</v>
      </c>
      <c r="D117">
        <v>895</v>
      </c>
      <c r="E117">
        <v>274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 t="s">
        <v>454</v>
      </c>
      <c r="M117" t="s">
        <v>455</v>
      </c>
      <c r="N117" t="s">
        <v>440</v>
      </c>
      <c r="O117">
        <v>0</v>
      </c>
      <c r="P117" t="s">
        <v>381</v>
      </c>
      <c r="Q117" t="s">
        <v>374</v>
      </c>
      <c r="R117">
        <v>3136</v>
      </c>
      <c r="S117" t="s">
        <v>455</v>
      </c>
      <c r="U117" t="s">
        <v>83</v>
      </c>
      <c r="V117" t="s">
        <v>375</v>
      </c>
      <c r="W117">
        <v>12277461</v>
      </c>
      <c r="X117" t="s">
        <v>447</v>
      </c>
      <c r="Y117">
        <f t="shared" si="19"/>
        <v>0.24523</v>
      </c>
      <c r="Z117">
        <f t="shared" si="20"/>
        <v>2.3380000000000001</v>
      </c>
      <c r="AA117">
        <f t="shared" si="21"/>
        <v>2.3380000000000001</v>
      </c>
      <c r="AB117" s="2">
        <f t="shared" si="22"/>
        <v>46</v>
      </c>
      <c r="AC117" s="2">
        <f t="shared" si="23"/>
        <v>39</v>
      </c>
      <c r="AD117" s="2">
        <f t="shared" si="24"/>
        <v>0</v>
      </c>
      <c r="AE117" s="2">
        <f t="shared" si="25"/>
        <v>0</v>
      </c>
      <c r="AF117" s="2">
        <f t="shared" si="26"/>
        <v>32</v>
      </c>
      <c r="AG117" s="2">
        <f t="shared" si="27"/>
        <v>0</v>
      </c>
      <c r="AH117" s="2">
        <f t="shared" si="28"/>
        <v>0</v>
      </c>
      <c r="AI117" s="1">
        <f t="shared" si="29"/>
        <v>84.168000000000006</v>
      </c>
      <c r="AJ117" s="1">
        <f t="shared" si="30"/>
        <v>140.28</v>
      </c>
      <c r="AK117" s="1" t="str">
        <f t="shared" si="31"/>
        <v/>
      </c>
      <c r="AL117" s="1" t="str">
        <f t="shared" si="32"/>
        <v/>
      </c>
      <c r="AM117" s="1">
        <f t="shared" si="17"/>
        <v>130</v>
      </c>
      <c r="AN117" s="5">
        <f t="shared" si="18"/>
        <v>0</v>
      </c>
      <c r="AO117" s="1" t="str">
        <f t="shared" si="33"/>
        <v/>
      </c>
    </row>
    <row r="118" spans="1:41">
      <c r="A118" t="s">
        <v>458</v>
      </c>
      <c r="B118" t="s">
        <v>394</v>
      </c>
      <c r="C118" t="s">
        <v>459</v>
      </c>
      <c r="D118">
        <v>2198</v>
      </c>
      <c r="E118">
        <v>898</v>
      </c>
      <c r="F118">
        <v>0</v>
      </c>
      <c r="G118">
        <v>1</v>
      </c>
      <c r="H118">
        <v>1</v>
      </c>
      <c r="I118">
        <v>1</v>
      </c>
      <c r="J118">
        <v>1</v>
      </c>
      <c r="K118">
        <v>1</v>
      </c>
      <c r="L118" t="s">
        <v>460</v>
      </c>
      <c r="M118" t="s">
        <v>461</v>
      </c>
      <c r="N118" t="s">
        <v>440</v>
      </c>
      <c r="O118">
        <v>0</v>
      </c>
      <c r="P118" t="s">
        <v>462</v>
      </c>
      <c r="Q118" t="s">
        <v>374</v>
      </c>
      <c r="R118">
        <v>3136</v>
      </c>
      <c r="S118" t="s">
        <v>461</v>
      </c>
      <c r="U118" t="s">
        <v>83</v>
      </c>
      <c r="V118" t="s">
        <v>463</v>
      </c>
      <c r="W118">
        <v>12277662</v>
      </c>
      <c r="X118" t="s">
        <v>462</v>
      </c>
      <c r="Y118">
        <f t="shared" si="19"/>
        <v>1.9738039999999999</v>
      </c>
      <c r="Z118">
        <f t="shared" si="20"/>
        <v>6.1920000000000002</v>
      </c>
      <c r="AA118">
        <f t="shared" si="21"/>
        <v>6.1920000000000002</v>
      </c>
      <c r="AB118" s="2">
        <f t="shared" si="22"/>
        <v>15</v>
      </c>
      <c r="AC118" s="2">
        <f t="shared" si="23"/>
        <v>8</v>
      </c>
      <c r="AD118" s="2">
        <f t="shared" si="24"/>
        <v>0</v>
      </c>
      <c r="AE118" s="2">
        <f t="shared" si="25"/>
        <v>0</v>
      </c>
      <c r="AF118" s="2">
        <f t="shared" si="26"/>
        <v>0</v>
      </c>
      <c r="AG118" s="2">
        <f t="shared" si="27"/>
        <v>0</v>
      </c>
      <c r="AH118" s="2">
        <f t="shared" si="28"/>
        <v>0</v>
      </c>
      <c r="AI118" s="1">
        <f t="shared" si="29"/>
        <v>222.91200000000001</v>
      </c>
      <c r="AJ118" s="1">
        <f t="shared" si="30"/>
        <v>371.52</v>
      </c>
      <c r="AK118" s="1" t="str">
        <f t="shared" si="31"/>
        <v/>
      </c>
      <c r="AL118" s="1" t="str">
        <f t="shared" si="32"/>
        <v/>
      </c>
      <c r="AM118" s="1" t="str">
        <f t="shared" si="17"/>
        <v/>
      </c>
      <c r="AN118" s="5">
        <f t="shared" si="18"/>
        <v>0</v>
      </c>
      <c r="AO118" s="1" t="str">
        <f t="shared" si="33"/>
        <v/>
      </c>
    </row>
    <row r="119" spans="1:41">
      <c r="A119" t="s">
        <v>464</v>
      </c>
      <c r="B119" t="s">
        <v>394</v>
      </c>
      <c r="C119" t="s">
        <v>465</v>
      </c>
      <c r="D119">
        <v>894</v>
      </c>
      <c r="E119">
        <v>398</v>
      </c>
      <c r="F119">
        <v>0</v>
      </c>
      <c r="G119">
        <v>3</v>
      </c>
      <c r="H119">
        <v>1</v>
      </c>
      <c r="I119">
        <v>1</v>
      </c>
      <c r="J119">
        <v>1</v>
      </c>
      <c r="K119">
        <v>1</v>
      </c>
      <c r="L119" t="s">
        <v>466</v>
      </c>
      <c r="M119" t="s">
        <v>467</v>
      </c>
      <c r="N119" t="s">
        <v>440</v>
      </c>
      <c r="O119">
        <v>0</v>
      </c>
      <c r="P119" t="s">
        <v>373</v>
      </c>
      <c r="Q119" t="s">
        <v>374</v>
      </c>
      <c r="R119">
        <v>3136</v>
      </c>
      <c r="S119" t="s">
        <v>467</v>
      </c>
      <c r="U119" t="s">
        <v>83</v>
      </c>
      <c r="V119" t="s">
        <v>375</v>
      </c>
      <c r="W119">
        <v>12276717</v>
      </c>
      <c r="X119" t="s">
        <v>376</v>
      </c>
      <c r="Y119">
        <f t="shared" si="19"/>
        <v>1.0674360000000001</v>
      </c>
      <c r="Z119">
        <f t="shared" si="20"/>
        <v>7.7520000000000007</v>
      </c>
      <c r="AA119">
        <f t="shared" si="21"/>
        <v>7.7520000000000007</v>
      </c>
      <c r="AB119" s="2">
        <f t="shared" si="22"/>
        <v>55</v>
      </c>
      <c r="AC119" s="2">
        <f t="shared" si="23"/>
        <v>48</v>
      </c>
      <c r="AD119" s="2">
        <f t="shared" si="24"/>
        <v>0</v>
      </c>
      <c r="AE119" s="2">
        <f t="shared" si="25"/>
        <v>0</v>
      </c>
      <c r="AF119" s="2">
        <f t="shared" si="26"/>
        <v>41</v>
      </c>
      <c r="AG119" s="2">
        <f t="shared" si="27"/>
        <v>0</v>
      </c>
      <c r="AH119" s="2">
        <f t="shared" si="28"/>
        <v>0</v>
      </c>
      <c r="AI119" s="1">
        <f t="shared" si="29"/>
        <v>279.072</v>
      </c>
      <c r="AJ119" s="1">
        <f t="shared" si="30"/>
        <v>465.12000000000006</v>
      </c>
      <c r="AK119" s="1" t="str">
        <f t="shared" si="31"/>
        <v/>
      </c>
      <c r="AL119" s="1" t="str">
        <f t="shared" si="32"/>
        <v/>
      </c>
      <c r="AM119" s="1">
        <f t="shared" si="17"/>
        <v>390</v>
      </c>
      <c r="AN119" s="5">
        <f t="shared" si="18"/>
        <v>0</v>
      </c>
      <c r="AO119" s="1" t="str">
        <f t="shared" si="33"/>
        <v/>
      </c>
    </row>
    <row r="120" spans="1:41">
      <c r="A120" t="s">
        <v>464</v>
      </c>
      <c r="B120" t="s">
        <v>394</v>
      </c>
      <c r="C120" t="s">
        <v>468</v>
      </c>
      <c r="D120">
        <v>894</v>
      </c>
      <c r="E120">
        <v>398</v>
      </c>
      <c r="F120">
        <v>0</v>
      </c>
      <c r="G120">
        <v>3</v>
      </c>
      <c r="H120">
        <v>1</v>
      </c>
      <c r="I120">
        <v>1</v>
      </c>
      <c r="J120">
        <v>1</v>
      </c>
      <c r="K120">
        <v>1</v>
      </c>
      <c r="L120" t="s">
        <v>466</v>
      </c>
      <c r="M120" t="s">
        <v>467</v>
      </c>
      <c r="N120" t="s">
        <v>440</v>
      </c>
      <c r="O120">
        <v>0</v>
      </c>
      <c r="P120" t="s">
        <v>378</v>
      </c>
      <c r="Q120" t="s">
        <v>374</v>
      </c>
      <c r="R120">
        <v>3136</v>
      </c>
      <c r="S120" t="s">
        <v>467</v>
      </c>
      <c r="U120" t="s">
        <v>83</v>
      </c>
      <c r="V120" t="s">
        <v>375</v>
      </c>
      <c r="W120">
        <v>12277161</v>
      </c>
      <c r="X120" t="s">
        <v>379</v>
      </c>
      <c r="Y120">
        <f t="shared" si="19"/>
        <v>1.0674360000000001</v>
      </c>
      <c r="Z120">
        <f t="shared" si="20"/>
        <v>7.7520000000000007</v>
      </c>
      <c r="AA120">
        <f t="shared" si="21"/>
        <v>7.7520000000000007</v>
      </c>
      <c r="AB120" s="2">
        <f t="shared" si="22"/>
        <v>55</v>
      </c>
      <c r="AC120" s="2">
        <f t="shared" si="23"/>
        <v>48</v>
      </c>
      <c r="AD120" s="2">
        <f t="shared" si="24"/>
        <v>0</v>
      </c>
      <c r="AE120" s="2">
        <f t="shared" si="25"/>
        <v>0</v>
      </c>
      <c r="AF120" s="2">
        <f t="shared" si="26"/>
        <v>41</v>
      </c>
      <c r="AG120" s="2">
        <f t="shared" si="27"/>
        <v>0</v>
      </c>
      <c r="AH120" s="2">
        <f t="shared" si="28"/>
        <v>0</v>
      </c>
      <c r="AI120" s="1">
        <f t="shared" si="29"/>
        <v>279.072</v>
      </c>
      <c r="AJ120" s="1">
        <f t="shared" si="30"/>
        <v>465.12000000000006</v>
      </c>
      <c r="AK120" s="1" t="str">
        <f t="shared" si="31"/>
        <v/>
      </c>
      <c r="AL120" s="1" t="str">
        <f t="shared" si="32"/>
        <v/>
      </c>
      <c r="AM120" s="1">
        <f t="shared" si="17"/>
        <v>390</v>
      </c>
      <c r="AN120" s="5">
        <f t="shared" si="18"/>
        <v>0</v>
      </c>
      <c r="AO120" s="1" t="str">
        <f t="shared" si="33"/>
        <v/>
      </c>
    </row>
    <row r="121" spans="1:41">
      <c r="A121" t="s">
        <v>464</v>
      </c>
      <c r="B121" t="s">
        <v>394</v>
      </c>
      <c r="C121" t="s">
        <v>469</v>
      </c>
      <c r="D121">
        <v>894</v>
      </c>
      <c r="E121">
        <v>398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1</v>
      </c>
      <c r="L121" t="s">
        <v>466</v>
      </c>
      <c r="M121" t="s">
        <v>467</v>
      </c>
      <c r="N121" t="s">
        <v>440</v>
      </c>
      <c r="O121">
        <v>0</v>
      </c>
      <c r="P121" t="s">
        <v>381</v>
      </c>
      <c r="Q121" t="s">
        <v>374</v>
      </c>
      <c r="R121">
        <v>3136</v>
      </c>
      <c r="S121" t="s">
        <v>467</v>
      </c>
      <c r="U121" t="s">
        <v>83</v>
      </c>
      <c r="V121" t="s">
        <v>375</v>
      </c>
      <c r="W121">
        <v>12277350</v>
      </c>
      <c r="X121" t="s">
        <v>376</v>
      </c>
      <c r="Y121">
        <f t="shared" si="19"/>
        <v>0.35581200000000002</v>
      </c>
      <c r="Z121">
        <f t="shared" si="20"/>
        <v>2.5840000000000001</v>
      </c>
      <c r="AA121">
        <f t="shared" si="21"/>
        <v>2.5840000000000001</v>
      </c>
      <c r="AB121" s="2">
        <f t="shared" si="22"/>
        <v>55</v>
      </c>
      <c r="AC121" s="2">
        <f t="shared" si="23"/>
        <v>48</v>
      </c>
      <c r="AD121" s="2">
        <f t="shared" si="24"/>
        <v>0</v>
      </c>
      <c r="AE121" s="2">
        <f t="shared" si="25"/>
        <v>0</v>
      </c>
      <c r="AF121" s="2">
        <f t="shared" si="26"/>
        <v>41</v>
      </c>
      <c r="AG121" s="2">
        <f t="shared" si="27"/>
        <v>0</v>
      </c>
      <c r="AH121" s="2">
        <f t="shared" si="28"/>
        <v>0</v>
      </c>
      <c r="AI121" s="1">
        <f t="shared" si="29"/>
        <v>93.024000000000001</v>
      </c>
      <c r="AJ121" s="1">
        <f t="shared" si="30"/>
        <v>155.04</v>
      </c>
      <c r="AK121" s="1" t="str">
        <f t="shared" si="31"/>
        <v/>
      </c>
      <c r="AL121" s="1" t="str">
        <f t="shared" si="32"/>
        <v/>
      </c>
      <c r="AM121" s="1">
        <f t="shared" si="17"/>
        <v>130</v>
      </c>
      <c r="AN121" s="5">
        <f t="shared" si="18"/>
        <v>0</v>
      </c>
      <c r="AO121" s="1" t="str">
        <f t="shared" si="33"/>
        <v/>
      </c>
    </row>
    <row r="122" spans="1:41">
      <c r="A122" t="s">
        <v>470</v>
      </c>
      <c r="B122" t="s">
        <v>394</v>
      </c>
      <c r="C122" t="s">
        <v>471</v>
      </c>
      <c r="D122">
        <v>1198</v>
      </c>
      <c r="E122">
        <v>598</v>
      </c>
      <c r="F122">
        <v>0</v>
      </c>
      <c r="G122">
        <v>3</v>
      </c>
      <c r="H122">
        <v>1</v>
      </c>
      <c r="I122">
        <v>1</v>
      </c>
      <c r="J122">
        <v>1</v>
      </c>
      <c r="K122">
        <v>1</v>
      </c>
      <c r="L122" t="s">
        <v>472</v>
      </c>
      <c r="M122" t="s">
        <v>473</v>
      </c>
      <c r="N122" t="s">
        <v>440</v>
      </c>
      <c r="O122">
        <v>0</v>
      </c>
      <c r="P122" t="s">
        <v>474</v>
      </c>
      <c r="Q122" t="s">
        <v>374</v>
      </c>
      <c r="R122">
        <v>3136</v>
      </c>
      <c r="S122" t="s">
        <v>473</v>
      </c>
      <c r="U122" t="s">
        <v>83</v>
      </c>
      <c r="V122" t="s">
        <v>475</v>
      </c>
      <c r="W122">
        <v>12276426</v>
      </c>
      <c r="X122" t="s">
        <v>474</v>
      </c>
      <c r="Y122">
        <f t="shared" si="19"/>
        <v>2.1492119999999999</v>
      </c>
      <c r="Z122">
        <f t="shared" si="20"/>
        <v>10.776</v>
      </c>
      <c r="AA122">
        <f t="shared" si="21"/>
        <v>10.776</v>
      </c>
      <c r="AB122" s="2">
        <f t="shared" si="22"/>
        <v>15</v>
      </c>
      <c r="AC122" s="2">
        <f t="shared" si="23"/>
        <v>8</v>
      </c>
      <c r="AD122" s="2">
        <f t="shared" si="24"/>
        <v>0</v>
      </c>
      <c r="AE122" s="2">
        <f t="shared" si="25"/>
        <v>0</v>
      </c>
      <c r="AF122" s="2">
        <f t="shared" si="26"/>
        <v>0</v>
      </c>
      <c r="AG122" s="2">
        <f t="shared" si="27"/>
        <v>0</v>
      </c>
      <c r="AH122" s="2">
        <f t="shared" si="28"/>
        <v>0</v>
      </c>
      <c r="AI122" s="1">
        <f t="shared" si="29"/>
        <v>387.93599999999998</v>
      </c>
      <c r="AJ122" s="1">
        <f t="shared" si="30"/>
        <v>646.55999999999995</v>
      </c>
      <c r="AK122" s="1" t="str">
        <f t="shared" si="31"/>
        <v/>
      </c>
      <c r="AL122" s="1" t="str">
        <f t="shared" si="32"/>
        <v/>
      </c>
      <c r="AM122" s="1" t="str">
        <f t="shared" si="17"/>
        <v/>
      </c>
      <c r="AN122" s="5">
        <f t="shared" si="18"/>
        <v>0</v>
      </c>
      <c r="AO122" s="1" t="str">
        <f t="shared" si="33"/>
        <v/>
      </c>
    </row>
    <row r="123" spans="1:41">
      <c r="A123" t="s">
        <v>476</v>
      </c>
      <c r="B123" t="s">
        <v>394</v>
      </c>
      <c r="C123" t="s">
        <v>477</v>
      </c>
      <c r="D123">
        <v>1598</v>
      </c>
      <c r="E123">
        <v>898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</v>
      </c>
      <c r="L123" t="s">
        <v>478</v>
      </c>
      <c r="M123" t="s">
        <v>479</v>
      </c>
      <c r="N123" t="s">
        <v>440</v>
      </c>
      <c r="O123">
        <v>0</v>
      </c>
      <c r="P123" t="s">
        <v>480</v>
      </c>
      <c r="Q123" t="s">
        <v>374</v>
      </c>
      <c r="R123">
        <v>3136</v>
      </c>
      <c r="S123" t="s">
        <v>479</v>
      </c>
      <c r="U123" t="s">
        <v>83</v>
      </c>
      <c r="V123" t="s">
        <v>463</v>
      </c>
      <c r="W123">
        <v>12277626</v>
      </c>
      <c r="X123" t="s">
        <v>480</v>
      </c>
      <c r="Y123">
        <f t="shared" si="19"/>
        <v>1.4350039999999999</v>
      </c>
      <c r="Z123">
        <f t="shared" si="20"/>
        <v>4.992</v>
      </c>
      <c r="AA123">
        <f t="shared" si="21"/>
        <v>4.992</v>
      </c>
      <c r="AB123" s="2">
        <f t="shared" si="22"/>
        <v>15</v>
      </c>
      <c r="AC123" s="2">
        <f t="shared" si="23"/>
        <v>8</v>
      </c>
      <c r="AD123" s="2">
        <f t="shared" si="24"/>
        <v>0</v>
      </c>
      <c r="AE123" s="2">
        <f t="shared" si="25"/>
        <v>0</v>
      </c>
      <c r="AF123" s="2">
        <f t="shared" si="26"/>
        <v>0</v>
      </c>
      <c r="AG123" s="2">
        <f t="shared" si="27"/>
        <v>0</v>
      </c>
      <c r="AH123" s="2">
        <f t="shared" si="28"/>
        <v>0</v>
      </c>
      <c r="AI123" s="1">
        <f t="shared" si="29"/>
        <v>179.71199999999999</v>
      </c>
      <c r="AJ123" s="1">
        <f t="shared" si="30"/>
        <v>299.52</v>
      </c>
      <c r="AK123" s="1" t="str">
        <f t="shared" si="31"/>
        <v/>
      </c>
      <c r="AL123" s="1" t="str">
        <f t="shared" si="32"/>
        <v/>
      </c>
      <c r="AM123" s="1" t="str">
        <f t="shared" si="17"/>
        <v/>
      </c>
      <c r="AN123" s="5">
        <f t="shared" si="18"/>
        <v>0</v>
      </c>
      <c r="AO123" s="1" t="str">
        <f t="shared" si="33"/>
        <v/>
      </c>
    </row>
    <row r="124" spans="1:41">
      <c r="A124" t="s">
        <v>236</v>
      </c>
      <c r="B124" t="s">
        <v>394</v>
      </c>
      <c r="C124" t="s">
        <v>481</v>
      </c>
      <c r="D124">
        <v>1298</v>
      </c>
      <c r="E124">
        <v>798</v>
      </c>
      <c r="F124">
        <v>0</v>
      </c>
      <c r="G124">
        <v>2</v>
      </c>
      <c r="H124">
        <v>1</v>
      </c>
      <c r="I124">
        <v>1</v>
      </c>
      <c r="J124">
        <v>1</v>
      </c>
      <c r="K124">
        <v>1</v>
      </c>
      <c r="L124" t="s">
        <v>238</v>
      </c>
      <c r="M124" t="s">
        <v>239</v>
      </c>
      <c r="N124" t="s">
        <v>440</v>
      </c>
      <c r="O124">
        <v>0</v>
      </c>
      <c r="P124" t="s">
        <v>441</v>
      </c>
      <c r="Q124" t="s">
        <v>374</v>
      </c>
      <c r="R124">
        <v>3136</v>
      </c>
      <c r="S124" t="s">
        <v>239</v>
      </c>
      <c r="U124" t="s">
        <v>83</v>
      </c>
      <c r="V124" t="s">
        <v>234</v>
      </c>
      <c r="W124">
        <v>12278978</v>
      </c>
      <c r="X124" t="s">
        <v>482</v>
      </c>
      <c r="Y124">
        <f t="shared" si="19"/>
        <v>2.0716079999999999</v>
      </c>
      <c r="Z124">
        <f t="shared" si="20"/>
        <v>8.3840000000000003</v>
      </c>
      <c r="AA124">
        <f t="shared" si="21"/>
        <v>8.3840000000000003</v>
      </c>
      <c r="AB124" s="2">
        <f t="shared" si="22"/>
        <v>28</v>
      </c>
      <c r="AC124" s="2">
        <f t="shared" si="23"/>
        <v>21</v>
      </c>
      <c r="AD124" s="2">
        <f t="shared" si="24"/>
        <v>0</v>
      </c>
      <c r="AE124" s="2">
        <f t="shared" si="25"/>
        <v>0</v>
      </c>
      <c r="AF124" s="2">
        <f t="shared" si="26"/>
        <v>0</v>
      </c>
      <c r="AG124" s="2">
        <f t="shared" si="27"/>
        <v>0</v>
      </c>
      <c r="AH124" s="2">
        <f t="shared" si="28"/>
        <v>0</v>
      </c>
      <c r="AI124" s="1">
        <f t="shared" si="29"/>
        <v>301.82400000000001</v>
      </c>
      <c r="AJ124" s="1">
        <f t="shared" si="30"/>
        <v>503.04</v>
      </c>
      <c r="AK124" s="1" t="str">
        <f t="shared" si="31"/>
        <v/>
      </c>
      <c r="AL124" s="1" t="str">
        <f t="shared" si="32"/>
        <v/>
      </c>
      <c r="AM124" s="1" t="str">
        <f t="shared" si="17"/>
        <v/>
      </c>
      <c r="AN124" s="5">
        <f t="shared" si="18"/>
        <v>0</v>
      </c>
      <c r="AO124" s="1" t="str">
        <f t="shared" si="33"/>
        <v/>
      </c>
    </row>
    <row r="125" spans="1:41">
      <c r="A125" t="s">
        <v>241</v>
      </c>
      <c r="B125" t="s">
        <v>394</v>
      </c>
      <c r="C125" t="s">
        <v>483</v>
      </c>
      <c r="D125">
        <v>1398</v>
      </c>
      <c r="E125">
        <v>498</v>
      </c>
      <c r="F125">
        <v>0</v>
      </c>
      <c r="G125">
        <v>4</v>
      </c>
      <c r="H125">
        <v>1</v>
      </c>
      <c r="I125">
        <v>1</v>
      </c>
      <c r="J125">
        <v>1</v>
      </c>
      <c r="K125">
        <v>1</v>
      </c>
      <c r="L125" t="s">
        <v>243</v>
      </c>
      <c r="M125" t="s">
        <v>244</v>
      </c>
      <c r="N125" t="s">
        <v>440</v>
      </c>
      <c r="O125">
        <v>0</v>
      </c>
      <c r="P125" t="s">
        <v>441</v>
      </c>
      <c r="Q125" t="s">
        <v>374</v>
      </c>
      <c r="R125">
        <v>3136</v>
      </c>
      <c r="S125" t="s">
        <v>244</v>
      </c>
      <c r="U125" t="s">
        <v>83</v>
      </c>
      <c r="V125" t="s">
        <v>234</v>
      </c>
      <c r="W125">
        <v>12279005</v>
      </c>
      <c r="X125" t="s">
        <v>484</v>
      </c>
      <c r="Y125">
        <f t="shared" si="19"/>
        <v>2.7848160000000002</v>
      </c>
      <c r="Z125">
        <f t="shared" si="20"/>
        <v>15.167999999999999</v>
      </c>
      <c r="AA125">
        <f t="shared" si="21"/>
        <v>15.167999999999999</v>
      </c>
      <c r="AB125" s="2">
        <f t="shared" si="22"/>
        <v>35</v>
      </c>
      <c r="AC125" s="2">
        <f t="shared" si="23"/>
        <v>28</v>
      </c>
      <c r="AD125" s="2">
        <f t="shared" si="24"/>
        <v>0</v>
      </c>
      <c r="AE125" s="2">
        <f t="shared" si="25"/>
        <v>0</v>
      </c>
      <c r="AF125" s="2">
        <f t="shared" si="26"/>
        <v>21</v>
      </c>
      <c r="AG125" s="2">
        <f t="shared" si="27"/>
        <v>0</v>
      </c>
      <c r="AH125" s="2">
        <f t="shared" si="28"/>
        <v>0</v>
      </c>
      <c r="AI125" s="1">
        <f t="shared" si="29"/>
        <v>546.048</v>
      </c>
      <c r="AJ125" s="1">
        <f t="shared" si="30"/>
        <v>910.07999999999993</v>
      </c>
      <c r="AK125" s="1" t="str">
        <f t="shared" si="31"/>
        <v/>
      </c>
      <c r="AL125" s="1" t="str">
        <f t="shared" si="32"/>
        <v/>
      </c>
      <c r="AM125" s="1">
        <f t="shared" si="17"/>
        <v>520</v>
      </c>
      <c r="AN125" s="5">
        <f t="shared" si="18"/>
        <v>0</v>
      </c>
      <c r="AO125" s="1" t="str">
        <f t="shared" si="33"/>
        <v/>
      </c>
    </row>
    <row r="126" spans="1:41">
      <c r="A126" t="s">
        <v>485</v>
      </c>
      <c r="B126" t="s">
        <v>394</v>
      </c>
      <c r="C126" t="s">
        <v>486</v>
      </c>
      <c r="D126">
        <v>592</v>
      </c>
      <c r="E126">
        <v>438</v>
      </c>
      <c r="F126">
        <v>0</v>
      </c>
      <c r="G126">
        <v>3</v>
      </c>
      <c r="H126">
        <v>1</v>
      </c>
      <c r="I126">
        <v>1</v>
      </c>
      <c r="J126">
        <v>1</v>
      </c>
      <c r="K126">
        <v>1</v>
      </c>
      <c r="L126" t="s">
        <v>487</v>
      </c>
      <c r="M126" t="s">
        <v>488</v>
      </c>
      <c r="N126" t="s">
        <v>440</v>
      </c>
      <c r="O126">
        <v>0</v>
      </c>
      <c r="P126" t="s">
        <v>373</v>
      </c>
      <c r="Q126" t="s">
        <v>374</v>
      </c>
      <c r="R126">
        <v>3136</v>
      </c>
      <c r="S126" t="s">
        <v>488</v>
      </c>
      <c r="U126" t="s">
        <v>83</v>
      </c>
      <c r="V126" t="s">
        <v>375</v>
      </c>
      <c r="W126">
        <v>12276843</v>
      </c>
      <c r="X126" t="s">
        <v>447</v>
      </c>
      <c r="Y126">
        <f t="shared" si="19"/>
        <v>0.77788800000000002</v>
      </c>
      <c r="Z126">
        <f t="shared" si="20"/>
        <v>6.18</v>
      </c>
      <c r="AA126">
        <f t="shared" si="21"/>
        <v>6.18</v>
      </c>
      <c r="AB126" s="2">
        <f t="shared" si="22"/>
        <v>46</v>
      </c>
      <c r="AC126" s="2">
        <f t="shared" si="23"/>
        <v>39</v>
      </c>
      <c r="AD126" s="2">
        <f t="shared" si="24"/>
        <v>0</v>
      </c>
      <c r="AE126" s="2">
        <f t="shared" si="25"/>
        <v>0</v>
      </c>
      <c r="AF126" s="2">
        <f t="shared" si="26"/>
        <v>32</v>
      </c>
      <c r="AG126" s="2">
        <f t="shared" si="27"/>
        <v>0</v>
      </c>
      <c r="AH126" s="2">
        <f t="shared" si="28"/>
        <v>0</v>
      </c>
      <c r="AI126" s="1">
        <f t="shared" si="29"/>
        <v>222.48</v>
      </c>
      <c r="AJ126" s="1">
        <f t="shared" si="30"/>
        <v>370.79999999999995</v>
      </c>
      <c r="AK126" s="1" t="str">
        <f t="shared" si="31"/>
        <v/>
      </c>
      <c r="AL126" s="1" t="str">
        <f t="shared" si="32"/>
        <v/>
      </c>
      <c r="AM126" s="1">
        <f t="shared" si="17"/>
        <v>390</v>
      </c>
      <c r="AN126" s="5">
        <f t="shared" si="18"/>
        <v>0</v>
      </c>
      <c r="AO126" s="1" t="str">
        <f t="shared" si="33"/>
        <v/>
      </c>
    </row>
    <row r="127" spans="1:41">
      <c r="A127" t="s">
        <v>489</v>
      </c>
      <c r="B127" t="s">
        <v>394</v>
      </c>
      <c r="C127" t="s">
        <v>490</v>
      </c>
      <c r="D127">
        <v>592</v>
      </c>
      <c r="E127">
        <v>438</v>
      </c>
      <c r="F127">
        <v>0</v>
      </c>
      <c r="G127">
        <v>3</v>
      </c>
      <c r="H127">
        <v>1</v>
      </c>
      <c r="I127">
        <v>1</v>
      </c>
      <c r="J127">
        <v>1</v>
      </c>
      <c r="K127">
        <v>1</v>
      </c>
      <c r="L127" t="s">
        <v>487</v>
      </c>
      <c r="M127" t="s">
        <v>488</v>
      </c>
      <c r="N127" t="s">
        <v>440</v>
      </c>
      <c r="O127">
        <v>0</v>
      </c>
      <c r="P127" t="s">
        <v>373</v>
      </c>
      <c r="Q127" t="s">
        <v>374</v>
      </c>
      <c r="R127">
        <v>3136</v>
      </c>
      <c r="S127" t="s">
        <v>488</v>
      </c>
      <c r="U127" t="s">
        <v>83</v>
      </c>
      <c r="V127" t="s">
        <v>375</v>
      </c>
      <c r="W127">
        <v>12276843</v>
      </c>
      <c r="X127" t="s">
        <v>447</v>
      </c>
      <c r="Y127">
        <f t="shared" si="19"/>
        <v>0.77788800000000002</v>
      </c>
      <c r="Z127">
        <f t="shared" si="20"/>
        <v>6.18</v>
      </c>
      <c r="AA127">
        <f t="shared" si="21"/>
        <v>6.18</v>
      </c>
      <c r="AB127" s="2">
        <f t="shared" si="22"/>
        <v>52</v>
      </c>
      <c r="AC127" s="2">
        <f t="shared" si="23"/>
        <v>45</v>
      </c>
      <c r="AD127" s="2">
        <f t="shared" si="24"/>
        <v>0</v>
      </c>
      <c r="AE127" s="2">
        <f t="shared" si="25"/>
        <v>0</v>
      </c>
      <c r="AF127" s="2">
        <f t="shared" si="26"/>
        <v>35</v>
      </c>
      <c r="AG127" s="2">
        <f t="shared" si="27"/>
        <v>0</v>
      </c>
      <c r="AH127" s="2">
        <f t="shared" si="28"/>
        <v>0</v>
      </c>
      <c r="AI127" s="1">
        <f t="shared" si="29"/>
        <v>222.48</v>
      </c>
      <c r="AJ127" s="1">
        <f t="shared" si="30"/>
        <v>370.79999999999995</v>
      </c>
      <c r="AK127" s="1" t="str">
        <f t="shared" si="31"/>
        <v/>
      </c>
      <c r="AL127" s="1" t="str">
        <f t="shared" si="32"/>
        <v/>
      </c>
      <c r="AM127" s="1">
        <f t="shared" si="17"/>
        <v>390</v>
      </c>
      <c r="AN127" s="5">
        <f t="shared" si="18"/>
        <v>0</v>
      </c>
      <c r="AO127" s="1" t="str">
        <f t="shared" si="33"/>
        <v/>
      </c>
    </row>
    <row r="128" spans="1:41">
      <c r="A128" t="s">
        <v>485</v>
      </c>
      <c r="B128" t="s">
        <v>394</v>
      </c>
      <c r="C128" t="s">
        <v>491</v>
      </c>
      <c r="D128">
        <v>592</v>
      </c>
      <c r="E128">
        <v>438</v>
      </c>
      <c r="F128">
        <v>0</v>
      </c>
      <c r="G128">
        <v>3</v>
      </c>
      <c r="H128">
        <v>1</v>
      </c>
      <c r="I128">
        <v>1</v>
      </c>
      <c r="J128">
        <v>1</v>
      </c>
      <c r="K128">
        <v>1</v>
      </c>
      <c r="L128" t="s">
        <v>487</v>
      </c>
      <c r="M128" t="s">
        <v>488</v>
      </c>
      <c r="N128" t="s">
        <v>440</v>
      </c>
      <c r="O128">
        <v>0</v>
      </c>
      <c r="P128" t="s">
        <v>378</v>
      </c>
      <c r="Q128" t="s">
        <v>374</v>
      </c>
      <c r="R128">
        <v>3136</v>
      </c>
      <c r="S128" t="s">
        <v>488</v>
      </c>
      <c r="U128" t="s">
        <v>83</v>
      </c>
      <c r="V128" t="s">
        <v>375</v>
      </c>
      <c r="W128">
        <v>12277176</v>
      </c>
      <c r="X128" t="s">
        <v>450</v>
      </c>
      <c r="Y128">
        <f t="shared" si="19"/>
        <v>0.77788800000000002</v>
      </c>
      <c r="Z128">
        <f t="shared" si="20"/>
        <v>6.18</v>
      </c>
      <c r="AA128">
        <f t="shared" si="21"/>
        <v>6.18</v>
      </c>
      <c r="AB128" s="2">
        <f t="shared" si="22"/>
        <v>46</v>
      </c>
      <c r="AC128" s="2">
        <f t="shared" si="23"/>
        <v>39</v>
      </c>
      <c r="AD128" s="2">
        <f t="shared" si="24"/>
        <v>0</v>
      </c>
      <c r="AE128" s="2">
        <f t="shared" si="25"/>
        <v>0</v>
      </c>
      <c r="AF128" s="2">
        <f t="shared" si="26"/>
        <v>32</v>
      </c>
      <c r="AG128" s="2">
        <f t="shared" si="27"/>
        <v>0</v>
      </c>
      <c r="AH128" s="2">
        <f t="shared" si="28"/>
        <v>0</v>
      </c>
      <c r="AI128" s="1">
        <f t="shared" si="29"/>
        <v>222.48</v>
      </c>
      <c r="AJ128" s="1">
        <f t="shared" si="30"/>
        <v>370.79999999999995</v>
      </c>
      <c r="AK128" s="1" t="str">
        <f t="shared" si="31"/>
        <v/>
      </c>
      <c r="AL128" s="1" t="str">
        <f t="shared" si="32"/>
        <v/>
      </c>
      <c r="AM128" s="1">
        <f t="shared" si="17"/>
        <v>390</v>
      </c>
      <c r="AN128" s="5">
        <f t="shared" si="18"/>
        <v>0</v>
      </c>
      <c r="AO128" s="1" t="str">
        <f t="shared" si="33"/>
        <v/>
      </c>
    </row>
    <row r="129" spans="1:41">
      <c r="A129" t="s">
        <v>489</v>
      </c>
      <c r="B129" t="s">
        <v>394</v>
      </c>
      <c r="C129" t="s">
        <v>492</v>
      </c>
      <c r="D129">
        <v>592</v>
      </c>
      <c r="E129">
        <v>438</v>
      </c>
      <c r="F129">
        <v>0</v>
      </c>
      <c r="G129">
        <v>3</v>
      </c>
      <c r="H129">
        <v>1</v>
      </c>
      <c r="I129">
        <v>1</v>
      </c>
      <c r="J129">
        <v>1</v>
      </c>
      <c r="K129">
        <v>1</v>
      </c>
      <c r="L129" t="s">
        <v>487</v>
      </c>
      <c r="M129" t="s">
        <v>488</v>
      </c>
      <c r="N129" t="s">
        <v>440</v>
      </c>
      <c r="O129">
        <v>0</v>
      </c>
      <c r="P129" t="s">
        <v>378</v>
      </c>
      <c r="Q129" t="s">
        <v>374</v>
      </c>
      <c r="R129">
        <v>3136</v>
      </c>
      <c r="S129" t="s">
        <v>488</v>
      </c>
      <c r="U129" t="s">
        <v>83</v>
      </c>
      <c r="V129" t="s">
        <v>375</v>
      </c>
      <c r="W129">
        <v>12277176</v>
      </c>
      <c r="X129" t="s">
        <v>450</v>
      </c>
      <c r="Y129">
        <f t="shared" si="19"/>
        <v>0.77788800000000002</v>
      </c>
      <c r="Z129">
        <f t="shared" si="20"/>
        <v>6.18</v>
      </c>
      <c r="AA129">
        <f t="shared" si="21"/>
        <v>6.18</v>
      </c>
      <c r="AB129" s="2">
        <f t="shared" si="22"/>
        <v>52</v>
      </c>
      <c r="AC129" s="2">
        <f t="shared" si="23"/>
        <v>45</v>
      </c>
      <c r="AD129" s="2">
        <f t="shared" si="24"/>
        <v>0</v>
      </c>
      <c r="AE129" s="2">
        <f t="shared" si="25"/>
        <v>0</v>
      </c>
      <c r="AF129" s="2">
        <f t="shared" si="26"/>
        <v>35</v>
      </c>
      <c r="AG129" s="2">
        <f t="shared" si="27"/>
        <v>0</v>
      </c>
      <c r="AH129" s="2">
        <f t="shared" si="28"/>
        <v>0</v>
      </c>
      <c r="AI129" s="1">
        <f t="shared" si="29"/>
        <v>222.48</v>
      </c>
      <c r="AJ129" s="1">
        <f t="shared" si="30"/>
        <v>370.79999999999995</v>
      </c>
      <c r="AK129" s="1" t="str">
        <f t="shared" si="31"/>
        <v/>
      </c>
      <c r="AL129" s="1" t="str">
        <f t="shared" si="32"/>
        <v/>
      </c>
      <c r="AM129" s="1">
        <f t="shared" si="17"/>
        <v>390</v>
      </c>
      <c r="AN129" s="5">
        <f t="shared" si="18"/>
        <v>0</v>
      </c>
      <c r="AO129" s="1" t="str">
        <f t="shared" si="33"/>
        <v/>
      </c>
    </row>
    <row r="130" spans="1:41">
      <c r="A130" t="s">
        <v>485</v>
      </c>
      <c r="B130" t="s">
        <v>394</v>
      </c>
      <c r="C130" t="s">
        <v>493</v>
      </c>
      <c r="D130">
        <v>592</v>
      </c>
      <c r="E130">
        <v>438</v>
      </c>
      <c r="F130">
        <v>0</v>
      </c>
      <c r="G130">
        <v>1</v>
      </c>
      <c r="H130">
        <v>1</v>
      </c>
      <c r="I130">
        <v>1</v>
      </c>
      <c r="J130">
        <v>1</v>
      </c>
      <c r="K130">
        <v>1</v>
      </c>
      <c r="L130" t="s">
        <v>487</v>
      </c>
      <c r="M130" t="s">
        <v>488</v>
      </c>
      <c r="N130" t="s">
        <v>440</v>
      </c>
      <c r="O130">
        <v>0</v>
      </c>
      <c r="P130" t="s">
        <v>381</v>
      </c>
      <c r="Q130" t="s">
        <v>374</v>
      </c>
      <c r="R130">
        <v>3136</v>
      </c>
      <c r="S130" t="s">
        <v>488</v>
      </c>
      <c r="U130" t="s">
        <v>83</v>
      </c>
      <c r="V130" t="s">
        <v>375</v>
      </c>
      <c r="W130">
        <v>12277469</v>
      </c>
      <c r="X130" t="s">
        <v>447</v>
      </c>
      <c r="Y130">
        <f t="shared" si="19"/>
        <v>0.25929600000000003</v>
      </c>
      <c r="Z130">
        <f t="shared" si="20"/>
        <v>2.06</v>
      </c>
      <c r="AA130">
        <f t="shared" si="21"/>
        <v>2.06</v>
      </c>
      <c r="AB130" s="2">
        <f t="shared" si="22"/>
        <v>46</v>
      </c>
      <c r="AC130" s="2">
        <f t="shared" si="23"/>
        <v>39</v>
      </c>
      <c r="AD130" s="2">
        <f t="shared" si="24"/>
        <v>0</v>
      </c>
      <c r="AE130" s="2">
        <f t="shared" si="25"/>
        <v>0</v>
      </c>
      <c r="AF130" s="2">
        <f t="shared" si="26"/>
        <v>32</v>
      </c>
      <c r="AG130" s="2">
        <f t="shared" si="27"/>
        <v>0</v>
      </c>
      <c r="AH130" s="2">
        <f t="shared" si="28"/>
        <v>0</v>
      </c>
      <c r="AI130" s="1">
        <f t="shared" si="29"/>
        <v>74.16</v>
      </c>
      <c r="AJ130" s="1">
        <f t="shared" si="30"/>
        <v>123.60000000000001</v>
      </c>
      <c r="AK130" s="1" t="str">
        <f t="shared" si="31"/>
        <v/>
      </c>
      <c r="AL130" s="1" t="str">
        <f t="shared" si="32"/>
        <v/>
      </c>
      <c r="AM130" s="1">
        <f t="shared" si="17"/>
        <v>130</v>
      </c>
      <c r="AN130" s="5">
        <f t="shared" si="18"/>
        <v>0</v>
      </c>
      <c r="AO130" s="1" t="str">
        <f t="shared" si="33"/>
        <v/>
      </c>
    </row>
    <row r="131" spans="1:41">
      <c r="A131" t="s">
        <v>489</v>
      </c>
      <c r="B131" t="s">
        <v>394</v>
      </c>
      <c r="C131" t="s">
        <v>494</v>
      </c>
      <c r="D131">
        <v>592</v>
      </c>
      <c r="E131">
        <v>438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 t="s">
        <v>487</v>
      </c>
      <c r="M131" t="s">
        <v>488</v>
      </c>
      <c r="N131" t="s">
        <v>440</v>
      </c>
      <c r="O131">
        <v>0</v>
      </c>
      <c r="P131" t="s">
        <v>381</v>
      </c>
      <c r="Q131" t="s">
        <v>374</v>
      </c>
      <c r="R131">
        <v>3136</v>
      </c>
      <c r="S131" t="s">
        <v>488</v>
      </c>
      <c r="U131" t="s">
        <v>83</v>
      </c>
      <c r="V131" t="s">
        <v>375</v>
      </c>
      <c r="W131">
        <v>12277469</v>
      </c>
      <c r="X131" t="s">
        <v>447</v>
      </c>
      <c r="Y131">
        <f t="shared" si="19"/>
        <v>0.25929600000000003</v>
      </c>
      <c r="Z131">
        <f t="shared" si="20"/>
        <v>2.06</v>
      </c>
      <c r="AA131">
        <f t="shared" si="21"/>
        <v>2.06</v>
      </c>
      <c r="AB131" s="2">
        <f t="shared" si="22"/>
        <v>52</v>
      </c>
      <c r="AC131" s="2">
        <f t="shared" si="23"/>
        <v>45</v>
      </c>
      <c r="AD131" s="2">
        <f t="shared" si="24"/>
        <v>0</v>
      </c>
      <c r="AE131" s="2">
        <f t="shared" si="25"/>
        <v>0</v>
      </c>
      <c r="AF131" s="2">
        <f t="shared" si="26"/>
        <v>35</v>
      </c>
      <c r="AG131" s="2">
        <f t="shared" si="27"/>
        <v>0</v>
      </c>
      <c r="AH131" s="2">
        <f t="shared" si="28"/>
        <v>0</v>
      </c>
      <c r="AI131" s="1">
        <f t="shared" si="29"/>
        <v>74.16</v>
      </c>
      <c r="AJ131" s="1">
        <f t="shared" si="30"/>
        <v>123.60000000000001</v>
      </c>
      <c r="AK131" s="1" t="str">
        <f t="shared" si="31"/>
        <v/>
      </c>
      <c r="AL131" s="1" t="str">
        <f t="shared" si="32"/>
        <v/>
      </c>
      <c r="AM131" s="1">
        <f t="shared" ref="AM131:AM194" si="34">IF(AF131&gt;0,G131*(130),"")</f>
        <v>130</v>
      </c>
      <c r="AN131" s="5">
        <f t="shared" ref="AN131:AN194" si="35">IF(AG131&gt;0,G131*252)+IF(AG131&gt;0,G131*Y131*662)</f>
        <v>0</v>
      </c>
      <c r="AO131" s="1" t="str">
        <f t="shared" si="33"/>
        <v/>
      </c>
    </row>
    <row r="132" spans="1:41">
      <c r="A132" t="s">
        <v>495</v>
      </c>
      <c r="B132" t="s">
        <v>394</v>
      </c>
      <c r="C132" t="s">
        <v>496</v>
      </c>
      <c r="D132">
        <v>595</v>
      </c>
      <c r="E132">
        <v>381</v>
      </c>
      <c r="F132">
        <v>0</v>
      </c>
      <c r="G132">
        <v>3</v>
      </c>
      <c r="H132">
        <v>1</v>
      </c>
      <c r="I132">
        <v>1</v>
      </c>
      <c r="J132">
        <v>1</v>
      </c>
      <c r="K132">
        <v>1</v>
      </c>
      <c r="L132" t="s">
        <v>497</v>
      </c>
      <c r="M132" t="s">
        <v>498</v>
      </c>
      <c r="N132" t="s">
        <v>440</v>
      </c>
      <c r="O132">
        <v>0</v>
      </c>
      <c r="P132" t="s">
        <v>373</v>
      </c>
      <c r="Q132" t="s">
        <v>374</v>
      </c>
      <c r="R132">
        <v>3136</v>
      </c>
      <c r="S132" t="s">
        <v>498</v>
      </c>
      <c r="U132" t="s">
        <v>83</v>
      </c>
      <c r="V132" t="s">
        <v>375</v>
      </c>
      <c r="W132">
        <v>12276603</v>
      </c>
      <c r="X132" t="s">
        <v>376</v>
      </c>
      <c r="Y132">
        <f t="shared" ref="Y132:Y195" si="36">(D132*E132)*G132/1000000</f>
        <v>0.68008500000000005</v>
      </c>
      <c r="Z132">
        <f t="shared" ref="Z132:Z195" si="37">(((D132+E132)*2)/1000)*G132</f>
        <v>5.8559999999999999</v>
      </c>
      <c r="AA132">
        <f t="shared" ref="AA132:AA195" si="38">(((D132*H132)+(D132*I132)+(E132*J132)+(E132*K132))/1000)*G132</f>
        <v>5.8559999999999999</v>
      </c>
      <c r="AB132" s="2">
        <f t="shared" ref="AB132:AB195" si="39">SEARCH($AB$1,C132)</f>
        <v>46</v>
      </c>
      <c r="AC132" s="2">
        <f t="shared" ref="AC132:AC195" si="40">IFERROR(SEARCH($AC$1,C132),0)</f>
        <v>39</v>
      </c>
      <c r="AD132" s="2">
        <f t="shared" ref="AD132:AD195" si="41">IFERROR(SEARCH($AD$1,C132),0)</f>
        <v>0</v>
      </c>
      <c r="AE132" s="2">
        <f t="shared" ref="AE132:AE195" si="42">IFERROR(SEARCH($AE$1,C132),0)</f>
        <v>0</v>
      </c>
      <c r="AF132" s="2">
        <f t="shared" ref="AF132:AF195" si="43">IFERROR(SEARCH($AF$1,C132),0)</f>
        <v>32</v>
      </c>
      <c r="AG132" s="2">
        <f t="shared" ref="AG132:AG195" si="44">IFERROR(SEARCH($AG$1,C132),0)</f>
        <v>0</v>
      </c>
      <c r="AH132" s="2">
        <f t="shared" ref="AH132:AH195" si="45">IFERROR(SEARCH($AH$1,C132),0)</f>
        <v>0</v>
      </c>
      <c r="AI132" s="1">
        <f t="shared" ref="AI132:AI195" si="46">Z132*36</f>
        <v>210.816</v>
      </c>
      <c r="AJ132" s="1">
        <f t="shared" ref="AJ132:AJ195" si="47">AA132*60</f>
        <v>351.36</v>
      </c>
      <c r="AK132" s="1" t="str">
        <f t="shared" ref="AK132:AK195" si="48">IF(AD132&gt;0,G132*220,"")</f>
        <v/>
      </c>
      <c r="AL132" s="1" t="str">
        <f t="shared" ref="AL132:AL195" si="49">IF(AE132&gt;0,G132*(240),"")</f>
        <v/>
      </c>
      <c r="AM132" s="1">
        <f t="shared" si="34"/>
        <v>390</v>
      </c>
      <c r="AN132" s="5">
        <f t="shared" si="35"/>
        <v>0</v>
      </c>
      <c r="AO132" s="1" t="str">
        <f t="shared" ref="AO132:AO195" si="50">IF(AH132&gt;0,G132*4800,"")</f>
        <v/>
      </c>
    </row>
    <row r="133" spans="1:41">
      <c r="A133" t="s">
        <v>499</v>
      </c>
      <c r="B133" t="s">
        <v>394</v>
      </c>
      <c r="C133" t="s">
        <v>500</v>
      </c>
      <c r="D133">
        <v>595</v>
      </c>
      <c r="E133">
        <v>381</v>
      </c>
      <c r="F133">
        <v>0</v>
      </c>
      <c r="G133">
        <v>3</v>
      </c>
      <c r="H133">
        <v>1</v>
      </c>
      <c r="I133">
        <v>1</v>
      </c>
      <c r="J133">
        <v>1</v>
      </c>
      <c r="K133">
        <v>1</v>
      </c>
      <c r="L133" t="s">
        <v>497</v>
      </c>
      <c r="M133" t="s">
        <v>498</v>
      </c>
      <c r="N133" t="s">
        <v>440</v>
      </c>
      <c r="O133">
        <v>0</v>
      </c>
      <c r="P133" t="s">
        <v>378</v>
      </c>
      <c r="Q133" t="s">
        <v>374</v>
      </c>
      <c r="R133">
        <v>3136</v>
      </c>
      <c r="S133" t="s">
        <v>498</v>
      </c>
      <c r="U133" t="s">
        <v>83</v>
      </c>
      <c r="V133" t="s">
        <v>375</v>
      </c>
      <c r="W133">
        <v>12277016</v>
      </c>
      <c r="X133" t="s">
        <v>379</v>
      </c>
      <c r="Y133">
        <f t="shared" si="36"/>
        <v>0.68008500000000005</v>
      </c>
      <c r="Z133">
        <f t="shared" si="37"/>
        <v>5.8559999999999999</v>
      </c>
      <c r="AA133">
        <f t="shared" si="38"/>
        <v>5.8559999999999999</v>
      </c>
      <c r="AB133" s="2">
        <f t="shared" si="39"/>
        <v>52</v>
      </c>
      <c r="AC133" s="2">
        <f t="shared" si="40"/>
        <v>45</v>
      </c>
      <c r="AD133" s="2">
        <f t="shared" si="41"/>
        <v>0</v>
      </c>
      <c r="AE133" s="2">
        <f t="shared" si="42"/>
        <v>0</v>
      </c>
      <c r="AF133" s="2">
        <f t="shared" si="43"/>
        <v>35</v>
      </c>
      <c r="AG133" s="2">
        <f t="shared" si="44"/>
        <v>0</v>
      </c>
      <c r="AH133" s="2">
        <f t="shared" si="45"/>
        <v>0</v>
      </c>
      <c r="AI133" s="1">
        <f t="shared" si="46"/>
        <v>210.816</v>
      </c>
      <c r="AJ133" s="1">
        <f t="shared" si="47"/>
        <v>351.36</v>
      </c>
      <c r="AK133" s="1" t="str">
        <f t="shared" si="48"/>
        <v/>
      </c>
      <c r="AL133" s="1" t="str">
        <f t="shared" si="49"/>
        <v/>
      </c>
      <c r="AM133" s="1">
        <f t="shared" si="34"/>
        <v>390</v>
      </c>
      <c r="AN133" s="5">
        <f t="shared" si="35"/>
        <v>0</v>
      </c>
      <c r="AO133" s="1" t="str">
        <f t="shared" si="50"/>
        <v/>
      </c>
    </row>
    <row r="134" spans="1:41">
      <c r="A134" t="s">
        <v>495</v>
      </c>
      <c r="B134" t="s">
        <v>394</v>
      </c>
      <c r="C134" t="s">
        <v>501</v>
      </c>
      <c r="D134">
        <v>595</v>
      </c>
      <c r="E134">
        <v>381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 t="s">
        <v>497</v>
      </c>
      <c r="M134" t="s">
        <v>498</v>
      </c>
      <c r="N134" t="s">
        <v>440</v>
      </c>
      <c r="O134">
        <v>0</v>
      </c>
      <c r="P134" t="s">
        <v>381</v>
      </c>
      <c r="Q134" t="s">
        <v>374</v>
      </c>
      <c r="R134">
        <v>3136</v>
      </c>
      <c r="S134" t="s">
        <v>498</v>
      </c>
      <c r="U134" t="s">
        <v>83</v>
      </c>
      <c r="V134" t="s">
        <v>375</v>
      </c>
      <c r="W134">
        <v>12277236</v>
      </c>
      <c r="X134" t="s">
        <v>376</v>
      </c>
      <c r="Y134">
        <f t="shared" si="36"/>
        <v>0.22669500000000001</v>
      </c>
      <c r="Z134">
        <f t="shared" si="37"/>
        <v>1.952</v>
      </c>
      <c r="AA134">
        <f t="shared" si="38"/>
        <v>1.952</v>
      </c>
      <c r="AB134" s="2">
        <f t="shared" si="39"/>
        <v>46</v>
      </c>
      <c r="AC134" s="2">
        <f t="shared" si="40"/>
        <v>39</v>
      </c>
      <c r="AD134" s="2">
        <f t="shared" si="41"/>
        <v>0</v>
      </c>
      <c r="AE134" s="2">
        <f t="shared" si="42"/>
        <v>0</v>
      </c>
      <c r="AF134" s="2">
        <f t="shared" si="43"/>
        <v>32</v>
      </c>
      <c r="AG134" s="2">
        <f t="shared" si="44"/>
        <v>0</v>
      </c>
      <c r="AH134" s="2">
        <f t="shared" si="45"/>
        <v>0</v>
      </c>
      <c r="AI134" s="1">
        <f t="shared" si="46"/>
        <v>70.271999999999991</v>
      </c>
      <c r="AJ134" s="1">
        <f t="shared" si="47"/>
        <v>117.12</v>
      </c>
      <c r="AK134" s="1" t="str">
        <f t="shared" si="48"/>
        <v/>
      </c>
      <c r="AL134" s="1" t="str">
        <f t="shared" si="49"/>
        <v/>
      </c>
      <c r="AM134" s="1">
        <f t="shared" si="34"/>
        <v>130</v>
      </c>
      <c r="AN134" s="5">
        <f t="shared" si="35"/>
        <v>0</v>
      </c>
      <c r="AO134" s="1" t="str">
        <f t="shared" si="50"/>
        <v/>
      </c>
    </row>
    <row r="135" spans="1:41">
      <c r="A135" t="s">
        <v>502</v>
      </c>
      <c r="B135" t="s">
        <v>394</v>
      </c>
      <c r="C135" t="s">
        <v>503</v>
      </c>
      <c r="D135">
        <v>508</v>
      </c>
      <c r="E135">
        <v>195</v>
      </c>
      <c r="F135">
        <v>0</v>
      </c>
      <c r="G135">
        <v>3</v>
      </c>
      <c r="H135">
        <v>1</v>
      </c>
      <c r="I135">
        <v>1</v>
      </c>
      <c r="J135">
        <v>1</v>
      </c>
      <c r="K135">
        <v>1</v>
      </c>
      <c r="L135" t="s">
        <v>504</v>
      </c>
      <c r="M135" t="s">
        <v>505</v>
      </c>
      <c r="N135" t="s">
        <v>440</v>
      </c>
      <c r="O135">
        <v>0</v>
      </c>
      <c r="P135" t="s">
        <v>373</v>
      </c>
      <c r="Q135" t="s">
        <v>374</v>
      </c>
      <c r="R135">
        <v>3136</v>
      </c>
      <c r="S135" t="s">
        <v>505</v>
      </c>
      <c r="U135" t="s">
        <v>83</v>
      </c>
      <c r="V135" t="s">
        <v>375</v>
      </c>
      <c r="W135">
        <v>12276636</v>
      </c>
      <c r="X135" t="s">
        <v>376</v>
      </c>
      <c r="Y135">
        <f t="shared" si="36"/>
        <v>0.29718</v>
      </c>
      <c r="Z135">
        <f t="shared" si="37"/>
        <v>4.218</v>
      </c>
      <c r="AA135">
        <f t="shared" si="38"/>
        <v>4.218</v>
      </c>
      <c r="AB135" s="2">
        <f t="shared" si="39"/>
        <v>46</v>
      </c>
      <c r="AC135" s="2">
        <f t="shared" si="40"/>
        <v>39</v>
      </c>
      <c r="AD135" s="2">
        <f t="shared" si="41"/>
        <v>0</v>
      </c>
      <c r="AE135" s="2">
        <f t="shared" si="42"/>
        <v>0</v>
      </c>
      <c r="AF135" s="2">
        <f t="shared" si="43"/>
        <v>32</v>
      </c>
      <c r="AG135" s="2">
        <f t="shared" si="44"/>
        <v>0</v>
      </c>
      <c r="AH135" s="2">
        <f t="shared" si="45"/>
        <v>0</v>
      </c>
      <c r="AI135" s="1">
        <f t="shared" si="46"/>
        <v>151.84800000000001</v>
      </c>
      <c r="AJ135" s="1">
        <f t="shared" si="47"/>
        <v>253.07999999999998</v>
      </c>
      <c r="AK135" s="1" t="str">
        <f t="shared" si="48"/>
        <v/>
      </c>
      <c r="AL135" s="1" t="str">
        <f t="shared" si="49"/>
        <v/>
      </c>
      <c r="AM135" s="1">
        <f t="shared" si="34"/>
        <v>390</v>
      </c>
      <c r="AN135" s="5">
        <f t="shared" si="35"/>
        <v>0</v>
      </c>
      <c r="AO135" s="1" t="str">
        <f t="shared" si="50"/>
        <v/>
      </c>
    </row>
    <row r="136" spans="1:41">
      <c r="A136" t="s">
        <v>506</v>
      </c>
      <c r="B136" t="s">
        <v>394</v>
      </c>
      <c r="C136" t="s">
        <v>507</v>
      </c>
      <c r="D136">
        <v>508</v>
      </c>
      <c r="E136">
        <v>195</v>
      </c>
      <c r="F136">
        <v>0</v>
      </c>
      <c r="G136">
        <v>3</v>
      </c>
      <c r="H136">
        <v>1</v>
      </c>
      <c r="I136">
        <v>1</v>
      </c>
      <c r="J136">
        <v>1</v>
      </c>
      <c r="K136">
        <v>1</v>
      </c>
      <c r="L136" t="s">
        <v>504</v>
      </c>
      <c r="M136" t="s">
        <v>505</v>
      </c>
      <c r="N136" t="s">
        <v>440</v>
      </c>
      <c r="O136">
        <v>0</v>
      </c>
      <c r="P136" t="s">
        <v>378</v>
      </c>
      <c r="Q136" t="s">
        <v>374</v>
      </c>
      <c r="R136">
        <v>3136</v>
      </c>
      <c r="S136" t="s">
        <v>505</v>
      </c>
      <c r="U136" t="s">
        <v>83</v>
      </c>
      <c r="V136" t="s">
        <v>375</v>
      </c>
      <c r="W136">
        <v>12277019</v>
      </c>
      <c r="X136" t="s">
        <v>379</v>
      </c>
      <c r="Y136">
        <f t="shared" si="36"/>
        <v>0.29718</v>
      </c>
      <c r="Z136">
        <f t="shared" si="37"/>
        <v>4.218</v>
      </c>
      <c r="AA136">
        <f t="shared" si="38"/>
        <v>4.218</v>
      </c>
      <c r="AB136" s="2">
        <f t="shared" si="39"/>
        <v>52</v>
      </c>
      <c r="AC136" s="2">
        <f t="shared" si="40"/>
        <v>45</v>
      </c>
      <c r="AD136" s="2">
        <f t="shared" si="41"/>
        <v>0</v>
      </c>
      <c r="AE136" s="2">
        <f t="shared" si="42"/>
        <v>0</v>
      </c>
      <c r="AF136" s="2">
        <f t="shared" si="43"/>
        <v>35</v>
      </c>
      <c r="AG136" s="2">
        <f t="shared" si="44"/>
        <v>0</v>
      </c>
      <c r="AH136" s="2">
        <f t="shared" si="45"/>
        <v>0</v>
      </c>
      <c r="AI136" s="1">
        <f t="shared" si="46"/>
        <v>151.84800000000001</v>
      </c>
      <c r="AJ136" s="1">
        <f t="shared" si="47"/>
        <v>253.07999999999998</v>
      </c>
      <c r="AK136" s="1" t="str">
        <f t="shared" si="48"/>
        <v/>
      </c>
      <c r="AL136" s="1" t="str">
        <f t="shared" si="49"/>
        <v/>
      </c>
      <c r="AM136" s="1">
        <f t="shared" si="34"/>
        <v>390</v>
      </c>
      <c r="AN136" s="5">
        <f t="shared" si="35"/>
        <v>0</v>
      </c>
      <c r="AO136" s="1" t="str">
        <f t="shared" si="50"/>
        <v/>
      </c>
    </row>
    <row r="137" spans="1:41">
      <c r="A137" t="s">
        <v>502</v>
      </c>
      <c r="B137" t="s">
        <v>394</v>
      </c>
      <c r="C137" t="s">
        <v>508</v>
      </c>
      <c r="D137">
        <v>508</v>
      </c>
      <c r="E137">
        <v>195</v>
      </c>
      <c r="F137">
        <v>0</v>
      </c>
      <c r="G137">
        <v>1</v>
      </c>
      <c r="H137">
        <v>1</v>
      </c>
      <c r="I137">
        <v>1</v>
      </c>
      <c r="J137">
        <v>1</v>
      </c>
      <c r="K137">
        <v>1</v>
      </c>
      <c r="L137" t="s">
        <v>504</v>
      </c>
      <c r="M137" t="s">
        <v>505</v>
      </c>
      <c r="N137" t="s">
        <v>440</v>
      </c>
      <c r="O137">
        <v>0</v>
      </c>
      <c r="P137" t="s">
        <v>381</v>
      </c>
      <c r="Q137" t="s">
        <v>374</v>
      </c>
      <c r="R137">
        <v>3136</v>
      </c>
      <c r="S137" t="s">
        <v>505</v>
      </c>
      <c r="U137" t="s">
        <v>83</v>
      </c>
      <c r="V137" t="s">
        <v>375</v>
      </c>
      <c r="W137">
        <v>12277269</v>
      </c>
      <c r="X137" t="s">
        <v>376</v>
      </c>
      <c r="Y137">
        <f t="shared" si="36"/>
        <v>9.9059999999999995E-2</v>
      </c>
      <c r="Z137">
        <f t="shared" si="37"/>
        <v>1.4059999999999999</v>
      </c>
      <c r="AA137">
        <f t="shared" si="38"/>
        <v>1.4059999999999999</v>
      </c>
      <c r="AB137" s="2">
        <f t="shared" si="39"/>
        <v>46</v>
      </c>
      <c r="AC137" s="2">
        <f t="shared" si="40"/>
        <v>39</v>
      </c>
      <c r="AD137" s="2">
        <f t="shared" si="41"/>
        <v>0</v>
      </c>
      <c r="AE137" s="2">
        <f t="shared" si="42"/>
        <v>0</v>
      </c>
      <c r="AF137" s="2">
        <f t="shared" si="43"/>
        <v>32</v>
      </c>
      <c r="AG137" s="2">
        <f t="shared" si="44"/>
        <v>0</v>
      </c>
      <c r="AH137" s="2">
        <f t="shared" si="45"/>
        <v>0</v>
      </c>
      <c r="AI137" s="1">
        <f t="shared" si="46"/>
        <v>50.616</v>
      </c>
      <c r="AJ137" s="1">
        <f t="shared" si="47"/>
        <v>84.36</v>
      </c>
      <c r="AK137" s="1" t="str">
        <f t="shared" si="48"/>
        <v/>
      </c>
      <c r="AL137" s="1" t="str">
        <f t="shared" si="49"/>
        <v/>
      </c>
      <c r="AM137" s="1">
        <f t="shared" si="34"/>
        <v>130</v>
      </c>
      <c r="AN137" s="5">
        <f t="shared" si="35"/>
        <v>0</v>
      </c>
      <c r="AO137" s="1" t="str">
        <f t="shared" si="50"/>
        <v/>
      </c>
    </row>
    <row r="138" spans="1:41">
      <c r="A138" t="s">
        <v>509</v>
      </c>
      <c r="B138" t="s">
        <v>394</v>
      </c>
      <c r="C138" t="s">
        <v>510</v>
      </c>
      <c r="D138">
        <v>508</v>
      </c>
      <c r="E138">
        <v>195</v>
      </c>
      <c r="F138">
        <v>0</v>
      </c>
      <c r="G138">
        <v>6</v>
      </c>
      <c r="H138">
        <v>1</v>
      </c>
      <c r="I138">
        <v>1</v>
      </c>
      <c r="J138">
        <v>1</v>
      </c>
      <c r="K138">
        <v>1</v>
      </c>
      <c r="L138" t="s">
        <v>511</v>
      </c>
      <c r="M138" t="s">
        <v>512</v>
      </c>
      <c r="N138" t="s">
        <v>440</v>
      </c>
      <c r="O138">
        <v>0</v>
      </c>
      <c r="P138" t="s">
        <v>373</v>
      </c>
      <c r="Q138" t="s">
        <v>374</v>
      </c>
      <c r="R138">
        <v>3136</v>
      </c>
      <c r="S138" t="s">
        <v>512</v>
      </c>
      <c r="U138" t="s">
        <v>83</v>
      </c>
      <c r="V138" t="s">
        <v>375</v>
      </c>
      <c r="W138">
        <v>12276610</v>
      </c>
      <c r="X138" t="s">
        <v>376</v>
      </c>
      <c r="Y138">
        <f t="shared" si="36"/>
        <v>0.59436</v>
      </c>
      <c r="Z138">
        <f t="shared" si="37"/>
        <v>8.4359999999999999</v>
      </c>
      <c r="AA138">
        <f t="shared" si="38"/>
        <v>8.4359999999999999</v>
      </c>
      <c r="AB138" s="2">
        <f t="shared" si="39"/>
        <v>46</v>
      </c>
      <c r="AC138" s="2">
        <f t="shared" si="40"/>
        <v>32</v>
      </c>
      <c r="AD138" s="2">
        <f t="shared" si="41"/>
        <v>0</v>
      </c>
      <c r="AE138" s="2">
        <f t="shared" si="42"/>
        <v>39</v>
      </c>
      <c r="AF138" s="2">
        <f t="shared" si="43"/>
        <v>0</v>
      </c>
      <c r="AG138" s="2">
        <f t="shared" si="44"/>
        <v>0</v>
      </c>
      <c r="AH138" s="2">
        <f t="shared" si="45"/>
        <v>0</v>
      </c>
      <c r="AI138" s="1">
        <f t="shared" si="46"/>
        <v>303.69600000000003</v>
      </c>
      <c r="AJ138" s="1">
        <f t="shared" si="47"/>
        <v>506.15999999999997</v>
      </c>
      <c r="AK138" s="1" t="str">
        <f t="shared" si="48"/>
        <v/>
      </c>
      <c r="AL138" s="1">
        <f t="shared" si="49"/>
        <v>1440</v>
      </c>
      <c r="AM138" s="1" t="str">
        <f t="shared" si="34"/>
        <v/>
      </c>
      <c r="AN138" s="5">
        <f t="shared" si="35"/>
        <v>0</v>
      </c>
      <c r="AO138" s="1" t="str">
        <f t="shared" si="50"/>
        <v/>
      </c>
    </row>
    <row r="139" spans="1:41">
      <c r="A139" t="s">
        <v>513</v>
      </c>
      <c r="B139" t="s">
        <v>394</v>
      </c>
      <c r="C139" t="s">
        <v>514</v>
      </c>
      <c r="D139">
        <v>508</v>
      </c>
      <c r="E139">
        <v>195</v>
      </c>
      <c r="F139">
        <v>0</v>
      </c>
      <c r="G139">
        <v>6</v>
      </c>
      <c r="H139">
        <v>1</v>
      </c>
      <c r="I139">
        <v>1</v>
      </c>
      <c r="J139">
        <v>1</v>
      </c>
      <c r="K139">
        <v>1</v>
      </c>
      <c r="L139" t="s">
        <v>511</v>
      </c>
      <c r="M139" t="s">
        <v>512</v>
      </c>
      <c r="N139" t="s">
        <v>440</v>
      </c>
      <c r="O139">
        <v>0</v>
      </c>
      <c r="P139" t="s">
        <v>378</v>
      </c>
      <c r="Q139" t="s">
        <v>374</v>
      </c>
      <c r="R139">
        <v>3136</v>
      </c>
      <c r="S139" t="s">
        <v>512</v>
      </c>
      <c r="U139" t="s">
        <v>83</v>
      </c>
      <c r="V139" t="s">
        <v>375</v>
      </c>
      <c r="W139">
        <v>12277021</v>
      </c>
      <c r="X139" t="s">
        <v>379</v>
      </c>
      <c r="Y139">
        <f t="shared" si="36"/>
        <v>0.59436</v>
      </c>
      <c r="Z139">
        <f t="shared" si="37"/>
        <v>8.4359999999999999</v>
      </c>
      <c r="AA139">
        <f t="shared" si="38"/>
        <v>8.4359999999999999</v>
      </c>
      <c r="AB139" s="2">
        <f t="shared" si="39"/>
        <v>55</v>
      </c>
      <c r="AC139" s="2">
        <f t="shared" si="40"/>
        <v>35</v>
      </c>
      <c r="AD139" s="2">
        <f t="shared" si="41"/>
        <v>0</v>
      </c>
      <c r="AE139" s="2">
        <f t="shared" si="42"/>
        <v>45</v>
      </c>
      <c r="AF139" s="2">
        <f t="shared" si="43"/>
        <v>0</v>
      </c>
      <c r="AG139" s="2">
        <f t="shared" si="44"/>
        <v>0</v>
      </c>
      <c r="AH139" s="2">
        <f t="shared" si="45"/>
        <v>0</v>
      </c>
      <c r="AI139" s="1">
        <f t="shared" si="46"/>
        <v>303.69600000000003</v>
      </c>
      <c r="AJ139" s="1">
        <f t="shared" si="47"/>
        <v>506.15999999999997</v>
      </c>
      <c r="AK139" s="1" t="str">
        <f t="shared" si="48"/>
        <v/>
      </c>
      <c r="AL139" s="1">
        <f t="shared" si="49"/>
        <v>1440</v>
      </c>
      <c r="AM139" s="1" t="str">
        <f t="shared" si="34"/>
        <v/>
      </c>
      <c r="AN139" s="5">
        <f t="shared" si="35"/>
        <v>0</v>
      </c>
      <c r="AO139" s="1" t="str">
        <f t="shared" si="50"/>
        <v/>
      </c>
    </row>
    <row r="140" spans="1:41">
      <c r="A140" t="s">
        <v>509</v>
      </c>
      <c r="B140" t="s">
        <v>394</v>
      </c>
      <c r="C140" t="s">
        <v>515</v>
      </c>
      <c r="D140">
        <v>508</v>
      </c>
      <c r="E140">
        <v>195</v>
      </c>
      <c r="F140">
        <v>0</v>
      </c>
      <c r="G140">
        <v>2</v>
      </c>
      <c r="H140">
        <v>1</v>
      </c>
      <c r="I140">
        <v>1</v>
      </c>
      <c r="J140">
        <v>1</v>
      </c>
      <c r="K140">
        <v>1</v>
      </c>
      <c r="L140" t="s">
        <v>511</v>
      </c>
      <c r="M140" t="s">
        <v>512</v>
      </c>
      <c r="N140" t="s">
        <v>440</v>
      </c>
      <c r="O140">
        <v>0</v>
      </c>
      <c r="P140" t="s">
        <v>381</v>
      </c>
      <c r="Q140" t="s">
        <v>374</v>
      </c>
      <c r="R140">
        <v>3136</v>
      </c>
      <c r="S140" t="s">
        <v>512</v>
      </c>
      <c r="U140" t="s">
        <v>83</v>
      </c>
      <c r="V140" t="s">
        <v>375</v>
      </c>
      <c r="W140">
        <v>12277243</v>
      </c>
      <c r="X140" t="s">
        <v>376</v>
      </c>
      <c r="Y140">
        <f t="shared" si="36"/>
        <v>0.19811999999999999</v>
      </c>
      <c r="Z140">
        <f t="shared" si="37"/>
        <v>2.8119999999999998</v>
      </c>
      <c r="AA140">
        <f t="shared" si="38"/>
        <v>2.8119999999999998</v>
      </c>
      <c r="AB140" s="2">
        <f t="shared" si="39"/>
        <v>46</v>
      </c>
      <c r="AC140" s="2">
        <f t="shared" si="40"/>
        <v>32</v>
      </c>
      <c r="AD140" s="2">
        <f t="shared" si="41"/>
        <v>0</v>
      </c>
      <c r="AE140" s="2">
        <f t="shared" si="42"/>
        <v>39</v>
      </c>
      <c r="AF140" s="2">
        <f t="shared" si="43"/>
        <v>0</v>
      </c>
      <c r="AG140" s="2">
        <f t="shared" si="44"/>
        <v>0</v>
      </c>
      <c r="AH140" s="2">
        <f t="shared" si="45"/>
        <v>0</v>
      </c>
      <c r="AI140" s="1">
        <f t="shared" si="46"/>
        <v>101.232</v>
      </c>
      <c r="AJ140" s="1">
        <f t="shared" si="47"/>
        <v>168.72</v>
      </c>
      <c r="AK140" s="1" t="str">
        <f t="shared" si="48"/>
        <v/>
      </c>
      <c r="AL140" s="1">
        <f t="shared" si="49"/>
        <v>480</v>
      </c>
      <c r="AM140" s="1" t="str">
        <f t="shared" si="34"/>
        <v/>
      </c>
      <c r="AN140" s="5">
        <f t="shared" si="35"/>
        <v>0</v>
      </c>
      <c r="AO140" s="1" t="str">
        <f t="shared" si="50"/>
        <v/>
      </c>
    </row>
    <row r="141" spans="1:41">
      <c r="A141" t="s">
        <v>516</v>
      </c>
      <c r="B141" t="s">
        <v>394</v>
      </c>
      <c r="C141" t="s">
        <v>517</v>
      </c>
      <c r="D141">
        <v>498</v>
      </c>
      <c r="E141">
        <v>498</v>
      </c>
      <c r="F141">
        <v>0</v>
      </c>
      <c r="G141">
        <v>8</v>
      </c>
      <c r="H141">
        <v>1</v>
      </c>
      <c r="I141">
        <v>1</v>
      </c>
      <c r="J141">
        <v>1</v>
      </c>
      <c r="K141">
        <v>1</v>
      </c>
      <c r="L141" t="s">
        <v>518</v>
      </c>
      <c r="M141" t="s">
        <v>519</v>
      </c>
      <c r="N141" t="s">
        <v>440</v>
      </c>
      <c r="O141">
        <v>0</v>
      </c>
      <c r="P141" t="s">
        <v>520</v>
      </c>
      <c r="Q141" t="s">
        <v>374</v>
      </c>
      <c r="R141">
        <v>3136</v>
      </c>
      <c r="S141" t="s">
        <v>519</v>
      </c>
      <c r="U141" t="s">
        <v>83</v>
      </c>
      <c r="V141" t="s">
        <v>521</v>
      </c>
      <c r="W141">
        <v>12276352</v>
      </c>
      <c r="X141" t="s">
        <v>520</v>
      </c>
      <c r="Y141">
        <f t="shared" si="36"/>
        <v>1.984032</v>
      </c>
      <c r="Z141">
        <f t="shared" si="37"/>
        <v>15.936</v>
      </c>
      <c r="AA141">
        <f t="shared" si="38"/>
        <v>15.936</v>
      </c>
      <c r="AB141" s="2">
        <f t="shared" si="39"/>
        <v>15</v>
      </c>
      <c r="AC141" s="2">
        <f t="shared" si="40"/>
        <v>8</v>
      </c>
      <c r="AD141" s="2">
        <f t="shared" si="41"/>
        <v>0</v>
      </c>
      <c r="AE141" s="2">
        <f t="shared" si="42"/>
        <v>0</v>
      </c>
      <c r="AF141" s="2">
        <f t="shared" si="43"/>
        <v>0</v>
      </c>
      <c r="AG141" s="2">
        <f t="shared" si="44"/>
        <v>0</v>
      </c>
      <c r="AH141" s="2">
        <f t="shared" si="45"/>
        <v>0</v>
      </c>
      <c r="AI141" s="1">
        <f t="shared" si="46"/>
        <v>573.69600000000003</v>
      </c>
      <c r="AJ141" s="1">
        <f t="shared" si="47"/>
        <v>956.16</v>
      </c>
      <c r="AK141" s="1" t="str">
        <f t="shared" si="48"/>
        <v/>
      </c>
      <c r="AL141" s="1" t="str">
        <f t="shared" si="49"/>
        <v/>
      </c>
      <c r="AM141" s="1" t="str">
        <f t="shared" si="34"/>
        <v/>
      </c>
      <c r="AN141" s="5">
        <f t="shared" si="35"/>
        <v>0</v>
      </c>
      <c r="AO141" s="1" t="str">
        <f t="shared" si="50"/>
        <v/>
      </c>
    </row>
    <row r="142" spans="1:41">
      <c r="A142" t="s">
        <v>522</v>
      </c>
      <c r="B142" t="s">
        <v>394</v>
      </c>
      <c r="C142" t="s">
        <v>523</v>
      </c>
      <c r="D142">
        <v>898</v>
      </c>
      <c r="E142">
        <v>498</v>
      </c>
      <c r="F142">
        <v>0</v>
      </c>
      <c r="G142">
        <v>3</v>
      </c>
      <c r="H142">
        <v>1</v>
      </c>
      <c r="I142">
        <v>1</v>
      </c>
      <c r="J142">
        <v>1</v>
      </c>
      <c r="K142">
        <v>1</v>
      </c>
      <c r="L142" t="s">
        <v>524</v>
      </c>
      <c r="M142" t="s">
        <v>525</v>
      </c>
      <c r="N142" t="s">
        <v>440</v>
      </c>
      <c r="O142">
        <v>0</v>
      </c>
      <c r="P142" t="s">
        <v>373</v>
      </c>
      <c r="Q142" t="s">
        <v>374</v>
      </c>
      <c r="R142">
        <v>3136</v>
      </c>
      <c r="S142" t="s">
        <v>525</v>
      </c>
      <c r="U142" t="s">
        <v>83</v>
      </c>
      <c r="V142" t="s">
        <v>375</v>
      </c>
      <c r="W142">
        <v>12276854</v>
      </c>
      <c r="X142" t="s">
        <v>526</v>
      </c>
      <c r="Y142">
        <f t="shared" si="36"/>
        <v>1.341612</v>
      </c>
      <c r="Z142">
        <f t="shared" si="37"/>
        <v>8.3759999999999994</v>
      </c>
      <c r="AA142">
        <f t="shared" si="38"/>
        <v>8.3759999999999994</v>
      </c>
      <c r="AB142" s="2">
        <f t="shared" si="39"/>
        <v>29</v>
      </c>
      <c r="AC142" s="2">
        <f t="shared" si="40"/>
        <v>22</v>
      </c>
      <c r="AD142" s="2">
        <f t="shared" si="41"/>
        <v>0</v>
      </c>
      <c r="AE142" s="2">
        <f t="shared" si="42"/>
        <v>0</v>
      </c>
      <c r="AF142" s="2">
        <f t="shared" si="43"/>
        <v>15</v>
      </c>
      <c r="AG142" s="2">
        <f t="shared" si="44"/>
        <v>0</v>
      </c>
      <c r="AH142" s="2">
        <f t="shared" si="45"/>
        <v>0</v>
      </c>
      <c r="AI142" s="1">
        <f t="shared" si="46"/>
        <v>301.536</v>
      </c>
      <c r="AJ142" s="1">
        <f t="shared" si="47"/>
        <v>502.55999999999995</v>
      </c>
      <c r="AK142" s="1" t="str">
        <f t="shared" si="48"/>
        <v/>
      </c>
      <c r="AL142" s="1" t="str">
        <f t="shared" si="49"/>
        <v/>
      </c>
      <c r="AM142" s="1">
        <f t="shared" si="34"/>
        <v>390</v>
      </c>
      <c r="AN142" s="5">
        <f t="shared" si="35"/>
        <v>0</v>
      </c>
      <c r="AO142" s="1" t="str">
        <f t="shared" si="50"/>
        <v/>
      </c>
    </row>
    <row r="143" spans="1:41">
      <c r="A143" t="s">
        <v>527</v>
      </c>
      <c r="B143" t="s">
        <v>394</v>
      </c>
      <c r="C143" t="s">
        <v>528</v>
      </c>
      <c r="D143">
        <v>898</v>
      </c>
      <c r="E143">
        <v>498</v>
      </c>
      <c r="F143">
        <v>0</v>
      </c>
      <c r="G143">
        <v>3</v>
      </c>
      <c r="H143">
        <v>1</v>
      </c>
      <c r="I143">
        <v>1</v>
      </c>
      <c r="J143">
        <v>1</v>
      </c>
      <c r="K143">
        <v>1</v>
      </c>
      <c r="L143" t="s">
        <v>524</v>
      </c>
      <c r="M143" t="s">
        <v>525</v>
      </c>
      <c r="N143" t="s">
        <v>440</v>
      </c>
      <c r="O143">
        <v>0</v>
      </c>
      <c r="P143" t="s">
        <v>378</v>
      </c>
      <c r="Q143" t="s">
        <v>374</v>
      </c>
      <c r="R143">
        <v>3136</v>
      </c>
      <c r="S143" t="s">
        <v>525</v>
      </c>
      <c r="U143" t="s">
        <v>83</v>
      </c>
      <c r="V143" t="s">
        <v>375</v>
      </c>
      <c r="W143">
        <v>12276958</v>
      </c>
      <c r="X143" t="s">
        <v>529</v>
      </c>
      <c r="Y143">
        <f t="shared" si="36"/>
        <v>1.341612</v>
      </c>
      <c r="Z143">
        <f t="shared" si="37"/>
        <v>8.3759999999999994</v>
      </c>
      <c r="AA143">
        <f t="shared" si="38"/>
        <v>8.3759999999999994</v>
      </c>
      <c r="AB143" s="2">
        <f t="shared" si="39"/>
        <v>32</v>
      </c>
      <c r="AC143" s="2">
        <f t="shared" si="40"/>
        <v>25</v>
      </c>
      <c r="AD143" s="2">
        <f t="shared" si="41"/>
        <v>0</v>
      </c>
      <c r="AE143" s="2">
        <f t="shared" si="42"/>
        <v>0</v>
      </c>
      <c r="AF143" s="2">
        <f t="shared" si="43"/>
        <v>15</v>
      </c>
      <c r="AG143" s="2">
        <f t="shared" si="44"/>
        <v>0</v>
      </c>
      <c r="AH143" s="2">
        <f t="shared" si="45"/>
        <v>0</v>
      </c>
      <c r="AI143" s="1">
        <f t="shared" si="46"/>
        <v>301.536</v>
      </c>
      <c r="AJ143" s="1">
        <f t="shared" si="47"/>
        <v>502.55999999999995</v>
      </c>
      <c r="AK143" s="1" t="str">
        <f t="shared" si="48"/>
        <v/>
      </c>
      <c r="AL143" s="1" t="str">
        <f t="shared" si="49"/>
        <v/>
      </c>
      <c r="AM143" s="1">
        <f t="shared" si="34"/>
        <v>390</v>
      </c>
      <c r="AN143" s="5">
        <f t="shared" si="35"/>
        <v>0</v>
      </c>
      <c r="AO143" s="1" t="str">
        <f t="shared" si="50"/>
        <v/>
      </c>
    </row>
    <row r="144" spans="1:41">
      <c r="A144" t="s">
        <v>530</v>
      </c>
      <c r="B144" t="s">
        <v>394</v>
      </c>
      <c r="C144" t="s">
        <v>531</v>
      </c>
      <c r="D144">
        <v>898</v>
      </c>
      <c r="E144">
        <v>498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1</v>
      </c>
      <c r="L144" t="s">
        <v>524</v>
      </c>
      <c r="M144" t="s">
        <v>525</v>
      </c>
      <c r="N144" t="s">
        <v>440</v>
      </c>
      <c r="O144">
        <v>0</v>
      </c>
      <c r="P144" t="s">
        <v>381</v>
      </c>
      <c r="Q144" t="s">
        <v>374</v>
      </c>
      <c r="R144">
        <v>3136</v>
      </c>
      <c r="S144" t="s">
        <v>525</v>
      </c>
      <c r="U144" t="s">
        <v>83</v>
      </c>
      <c r="V144" t="s">
        <v>375</v>
      </c>
      <c r="W144">
        <v>12277475</v>
      </c>
      <c r="X144" t="s">
        <v>392</v>
      </c>
      <c r="Y144">
        <f t="shared" si="36"/>
        <v>0.44720399999999999</v>
      </c>
      <c r="Z144">
        <f t="shared" si="37"/>
        <v>2.7919999999999998</v>
      </c>
      <c r="AA144">
        <f t="shared" si="38"/>
        <v>2.7919999999999998</v>
      </c>
      <c r="AB144" s="2">
        <f t="shared" si="39"/>
        <v>34</v>
      </c>
      <c r="AC144" s="2">
        <f t="shared" si="40"/>
        <v>27</v>
      </c>
      <c r="AD144" s="2">
        <f t="shared" si="41"/>
        <v>0</v>
      </c>
      <c r="AE144" s="2">
        <f t="shared" si="42"/>
        <v>0</v>
      </c>
      <c r="AF144" s="2">
        <f t="shared" si="43"/>
        <v>18</v>
      </c>
      <c r="AG144" s="2">
        <f t="shared" si="44"/>
        <v>0</v>
      </c>
      <c r="AH144" s="2">
        <f t="shared" si="45"/>
        <v>0</v>
      </c>
      <c r="AI144" s="1">
        <f t="shared" si="46"/>
        <v>100.512</v>
      </c>
      <c r="AJ144" s="1">
        <f t="shared" si="47"/>
        <v>167.51999999999998</v>
      </c>
      <c r="AK144" s="1" t="str">
        <f t="shared" si="48"/>
        <v/>
      </c>
      <c r="AL144" s="1" t="str">
        <f t="shared" si="49"/>
        <v/>
      </c>
      <c r="AM144" s="1">
        <f t="shared" si="34"/>
        <v>130</v>
      </c>
      <c r="AN144" s="5">
        <f t="shared" si="35"/>
        <v>0</v>
      </c>
      <c r="AO144" s="1" t="str">
        <f t="shared" si="50"/>
        <v/>
      </c>
    </row>
    <row r="145" spans="1:41">
      <c r="A145" t="s">
        <v>522</v>
      </c>
      <c r="B145" t="s">
        <v>394</v>
      </c>
      <c r="C145" t="s">
        <v>532</v>
      </c>
      <c r="D145">
        <v>898</v>
      </c>
      <c r="E145">
        <v>498</v>
      </c>
      <c r="F145">
        <v>0</v>
      </c>
      <c r="G145">
        <v>3</v>
      </c>
      <c r="H145">
        <v>1</v>
      </c>
      <c r="I145">
        <v>1</v>
      </c>
      <c r="J145">
        <v>1</v>
      </c>
      <c r="K145">
        <v>1</v>
      </c>
      <c r="L145" t="s">
        <v>524</v>
      </c>
      <c r="M145" t="s">
        <v>525</v>
      </c>
      <c r="N145" t="s">
        <v>440</v>
      </c>
      <c r="O145">
        <v>0</v>
      </c>
      <c r="P145" t="s">
        <v>533</v>
      </c>
      <c r="Q145" t="s">
        <v>374</v>
      </c>
      <c r="R145">
        <v>3136</v>
      </c>
      <c r="S145" t="s">
        <v>525</v>
      </c>
      <c r="U145" t="s">
        <v>83</v>
      </c>
      <c r="V145" t="s">
        <v>463</v>
      </c>
      <c r="W145">
        <v>12277561</v>
      </c>
      <c r="X145" t="s">
        <v>533</v>
      </c>
      <c r="Y145">
        <f t="shared" si="36"/>
        <v>1.341612</v>
      </c>
      <c r="Z145">
        <f t="shared" si="37"/>
        <v>8.3759999999999994</v>
      </c>
      <c r="AA145">
        <f t="shared" si="38"/>
        <v>8.3759999999999994</v>
      </c>
      <c r="AB145" s="2">
        <f t="shared" si="39"/>
        <v>22</v>
      </c>
      <c r="AC145" s="2">
        <f t="shared" si="40"/>
        <v>15</v>
      </c>
      <c r="AD145" s="2">
        <f t="shared" si="41"/>
        <v>0</v>
      </c>
      <c r="AE145" s="2">
        <f t="shared" si="42"/>
        <v>0</v>
      </c>
      <c r="AF145" s="2">
        <f t="shared" si="43"/>
        <v>8</v>
      </c>
      <c r="AG145" s="2">
        <f t="shared" si="44"/>
        <v>0</v>
      </c>
      <c r="AH145" s="2">
        <f t="shared" si="45"/>
        <v>0</v>
      </c>
      <c r="AI145" s="1">
        <f t="shared" si="46"/>
        <v>301.536</v>
      </c>
      <c r="AJ145" s="1">
        <f t="shared" si="47"/>
        <v>502.55999999999995</v>
      </c>
      <c r="AK145" s="1" t="str">
        <f t="shared" si="48"/>
        <v/>
      </c>
      <c r="AL145" s="1" t="str">
        <f t="shared" si="49"/>
        <v/>
      </c>
      <c r="AM145" s="1">
        <f t="shared" si="34"/>
        <v>390</v>
      </c>
      <c r="AN145" s="5">
        <f t="shared" si="35"/>
        <v>0</v>
      </c>
      <c r="AO145" s="1" t="str">
        <f t="shared" si="50"/>
        <v/>
      </c>
    </row>
    <row r="146" spans="1:41">
      <c r="A146" t="s">
        <v>534</v>
      </c>
      <c r="B146" t="s">
        <v>394</v>
      </c>
      <c r="C146" t="s">
        <v>535</v>
      </c>
      <c r="D146">
        <v>898</v>
      </c>
      <c r="E146">
        <v>498</v>
      </c>
      <c r="F146">
        <v>0</v>
      </c>
      <c r="G146">
        <v>2</v>
      </c>
      <c r="H146">
        <v>1</v>
      </c>
      <c r="I146">
        <v>1</v>
      </c>
      <c r="J146">
        <v>1</v>
      </c>
      <c r="K146">
        <v>1</v>
      </c>
      <c r="L146" t="s">
        <v>524</v>
      </c>
      <c r="M146" t="s">
        <v>525</v>
      </c>
      <c r="N146" t="s">
        <v>440</v>
      </c>
      <c r="O146">
        <v>0</v>
      </c>
      <c r="P146" t="s">
        <v>536</v>
      </c>
      <c r="Q146" t="s">
        <v>374</v>
      </c>
      <c r="R146">
        <v>3136</v>
      </c>
      <c r="S146" t="s">
        <v>525</v>
      </c>
      <c r="U146" t="s">
        <v>83</v>
      </c>
      <c r="V146" t="s">
        <v>463</v>
      </c>
      <c r="W146">
        <v>12279151</v>
      </c>
      <c r="X146" t="s">
        <v>536</v>
      </c>
      <c r="Y146">
        <f t="shared" si="36"/>
        <v>0.89440799999999998</v>
      </c>
      <c r="Z146">
        <f t="shared" si="37"/>
        <v>5.5839999999999996</v>
      </c>
      <c r="AA146">
        <f t="shared" si="38"/>
        <v>5.5839999999999996</v>
      </c>
      <c r="AB146" s="2">
        <f t="shared" si="39"/>
        <v>25</v>
      </c>
      <c r="AC146" s="2">
        <f t="shared" si="40"/>
        <v>18</v>
      </c>
      <c r="AD146" s="2">
        <f t="shared" si="41"/>
        <v>0</v>
      </c>
      <c r="AE146" s="2">
        <f t="shared" si="42"/>
        <v>0</v>
      </c>
      <c r="AF146" s="2">
        <f t="shared" si="43"/>
        <v>8</v>
      </c>
      <c r="AG146" s="2">
        <f t="shared" si="44"/>
        <v>0</v>
      </c>
      <c r="AH146" s="2">
        <f t="shared" si="45"/>
        <v>0</v>
      </c>
      <c r="AI146" s="1">
        <f t="shared" si="46"/>
        <v>201.024</v>
      </c>
      <c r="AJ146" s="1">
        <f t="shared" si="47"/>
        <v>335.03999999999996</v>
      </c>
      <c r="AK146" s="1" t="str">
        <f t="shared" si="48"/>
        <v/>
      </c>
      <c r="AL146" s="1" t="str">
        <f t="shared" si="49"/>
        <v/>
      </c>
      <c r="AM146" s="1">
        <f t="shared" si="34"/>
        <v>260</v>
      </c>
      <c r="AN146" s="5">
        <f t="shared" si="35"/>
        <v>0</v>
      </c>
      <c r="AO146" s="1" t="str">
        <f t="shared" si="50"/>
        <v/>
      </c>
    </row>
    <row r="147" spans="1:41">
      <c r="A147" t="s">
        <v>537</v>
      </c>
      <c r="B147" t="s">
        <v>394</v>
      </c>
      <c r="C147" t="s">
        <v>538</v>
      </c>
      <c r="D147">
        <v>1298</v>
      </c>
      <c r="E147">
        <v>298</v>
      </c>
      <c r="F147">
        <v>0</v>
      </c>
      <c r="G147">
        <v>3</v>
      </c>
      <c r="H147">
        <v>1</v>
      </c>
      <c r="I147">
        <v>1</v>
      </c>
      <c r="J147">
        <v>1</v>
      </c>
      <c r="K147">
        <v>1</v>
      </c>
      <c r="L147" t="s">
        <v>539</v>
      </c>
      <c r="M147" t="s">
        <v>540</v>
      </c>
      <c r="N147" t="s">
        <v>440</v>
      </c>
      <c r="O147">
        <v>0</v>
      </c>
      <c r="P147" t="s">
        <v>373</v>
      </c>
      <c r="Q147" t="s">
        <v>374</v>
      </c>
      <c r="R147">
        <v>3136</v>
      </c>
      <c r="S147" t="s">
        <v>540</v>
      </c>
      <c r="U147" t="s">
        <v>83</v>
      </c>
      <c r="V147" t="s">
        <v>375</v>
      </c>
      <c r="W147">
        <v>12276850</v>
      </c>
      <c r="X147" t="s">
        <v>526</v>
      </c>
      <c r="Y147">
        <f t="shared" si="36"/>
        <v>1.160412</v>
      </c>
      <c r="Z147">
        <f t="shared" si="37"/>
        <v>9.5760000000000005</v>
      </c>
      <c r="AA147">
        <f t="shared" si="38"/>
        <v>9.5760000000000005</v>
      </c>
      <c r="AB147" s="2">
        <f t="shared" si="39"/>
        <v>29</v>
      </c>
      <c r="AC147" s="2">
        <f t="shared" si="40"/>
        <v>22</v>
      </c>
      <c r="AD147" s="2">
        <f t="shared" si="41"/>
        <v>0</v>
      </c>
      <c r="AE147" s="2">
        <f t="shared" si="42"/>
        <v>0</v>
      </c>
      <c r="AF147" s="2">
        <f t="shared" si="43"/>
        <v>15</v>
      </c>
      <c r="AG147" s="2">
        <f t="shared" si="44"/>
        <v>0</v>
      </c>
      <c r="AH147" s="2">
        <f t="shared" si="45"/>
        <v>0</v>
      </c>
      <c r="AI147" s="1">
        <f t="shared" si="46"/>
        <v>344.73599999999999</v>
      </c>
      <c r="AJ147" s="1">
        <f t="shared" si="47"/>
        <v>574.56000000000006</v>
      </c>
      <c r="AK147" s="1" t="str">
        <f t="shared" si="48"/>
        <v/>
      </c>
      <c r="AL147" s="1" t="str">
        <f t="shared" si="49"/>
        <v/>
      </c>
      <c r="AM147" s="1">
        <f t="shared" si="34"/>
        <v>390</v>
      </c>
      <c r="AN147" s="5">
        <f t="shared" si="35"/>
        <v>0</v>
      </c>
      <c r="AO147" s="1" t="str">
        <f t="shared" si="50"/>
        <v/>
      </c>
    </row>
    <row r="148" spans="1:41">
      <c r="A148" t="s">
        <v>541</v>
      </c>
      <c r="B148" t="s">
        <v>394</v>
      </c>
      <c r="C148" t="s">
        <v>542</v>
      </c>
      <c r="D148">
        <v>1298</v>
      </c>
      <c r="E148">
        <v>298</v>
      </c>
      <c r="F148">
        <v>0</v>
      </c>
      <c r="G148">
        <v>3</v>
      </c>
      <c r="H148">
        <v>1</v>
      </c>
      <c r="I148">
        <v>1</v>
      </c>
      <c r="J148">
        <v>1</v>
      </c>
      <c r="K148">
        <v>1</v>
      </c>
      <c r="L148" t="s">
        <v>539</v>
      </c>
      <c r="M148" t="s">
        <v>540</v>
      </c>
      <c r="N148" t="s">
        <v>440</v>
      </c>
      <c r="O148">
        <v>0</v>
      </c>
      <c r="P148" t="s">
        <v>378</v>
      </c>
      <c r="Q148" t="s">
        <v>374</v>
      </c>
      <c r="R148">
        <v>3136</v>
      </c>
      <c r="S148" t="s">
        <v>540</v>
      </c>
      <c r="U148" t="s">
        <v>83</v>
      </c>
      <c r="V148" t="s">
        <v>375</v>
      </c>
      <c r="W148">
        <v>12277024</v>
      </c>
      <c r="X148" t="s">
        <v>529</v>
      </c>
      <c r="Y148">
        <f t="shared" si="36"/>
        <v>1.160412</v>
      </c>
      <c r="Z148">
        <f t="shared" si="37"/>
        <v>9.5760000000000005</v>
      </c>
      <c r="AA148">
        <f t="shared" si="38"/>
        <v>9.5760000000000005</v>
      </c>
      <c r="AB148" s="2">
        <f t="shared" si="39"/>
        <v>32</v>
      </c>
      <c r="AC148" s="2">
        <f t="shared" si="40"/>
        <v>25</v>
      </c>
      <c r="AD148" s="2">
        <f t="shared" si="41"/>
        <v>0</v>
      </c>
      <c r="AE148" s="2">
        <f t="shared" si="42"/>
        <v>0</v>
      </c>
      <c r="AF148" s="2">
        <f t="shared" si="43"/>
        <v>15</v>
      </c>
      <c r="AG148" s="2">
        <f t="shared" si="44"/>
        <v>0</v>
      </c>
      <c r="AH148" s="2">
        <f t="shared" si="45"/>
        <v>0</v>
      </c>
      <c r="AI148" s="1">
        <f t="shared" si="46"/>
        <v>344.73599999999999</v>
      </c>
      <c r="AJ148" s="1">
        <f t="shared" si="47"/>
        <v>574.56000000000006</v>
      </c>
      <c r="AK148" s="1" t="str">
        <f t="shared" si="48"/>
        <v/>
      </c>
      <c r="AL148" s="1" t="str">
        <f t="shared" si="49"/>
        <v/>
      </c>
      <c r="AM148" s="1">
        <f t="shared" si="34"/>
        <v>390</v>
      </c>
      <c r="AN148" s="5">
        <f t="shared" si="35"/>
        <v>0</v>
      </c>
      <c r="AO148" s="1" t="str">
        <f t="shared" si="50"/>
        <v/>
      </c>
    </row>
    <row r="149" spans="1:41">
      <c r="A149" t="s">
        <v>543</v>
      </c>
      <c r="B149" t="s">
        <v>394</v>
      </c>
      <c r="C149" t="s">
        <v>544</v>
      </c>
      <c r="D149">
        <v>1298</v>
      </c>
      <c r="E149">
        <v>298</v>
      </c>
      <c r="F149">
        <v>0</v>
      </c>
      <c r="G149">
        <v>3</v>
      </c>
      <c r="H149">
        <v>1</v>
      </c>
      <c r="I149">
        <v>1</v>
      </c>
      <c r="J149">
        <v>1</v>
      </c>
      <c r="K149">
        <v>1</v>
      </c>
      <c r="L149" t="s">
        <v>539</v>
      </c>
      <c r="M149" t="s">
        <v>540</v>
      </c>
      <c r="N149" t="s">
        <v>440</v>
      </c>
      <c r="O149">
        <v>0</v>
      </c>
      <c r="P149" t="s">
        <v>533</v>
      </c>
      <c r="Q149" t="s">
        <v>374</v>
      </c>
      <c r="R149">
        <v>3136</v>
      </c>
      <c r="S149" t="s">
        <v>540</v>
      </c>
      <c r="U149" t="s">
        <v>83</v>
      </c>
      <c r="V149" t="s">
        <v>463</v>
      </c>
      <c r="W149">
        <v>12277586</v>
      </c>
      <c r="X149" t="s">
        <v>533</v>
      </c>
      <c r="Y149">
        <f t="shared" si="36"/>
        <v>1.160412</v>
      </c>
      <c r="Z149">
        <f t="shared" si="37"/>
        <v>9.5760000000000005</v>
      </c>
      <c r="AA149">
        <f t="shared" si="38"/>
        <v>9.5760000000000005</v>
      </c>
      <c r="AB149" s="2">
        <f t="shared" si="39"/>
        <v>25</v>
      </c>
      <c r="AC149" s="2">
        <f t="shared" si="40"/>
        <v>18</v>
      </c>
      <c r="AD149" s="2">
        <f t="shared" si="41"/>
        <v>0</v>
      </c>
      <c r="AE149" s="2">
        <f t="shared" si="42"/>
        <v>0</v>
      </c>
      <c r="AF149" s="2">
        <f t="shared" si="43"/>
        <v>8</v>
      </c>
      <c r="AG149" s="2">
        <f t="shared" si="44"/>
        <v>0</v>
      </c>
      <c r="AH149" s="2">
        <f t="shared" si="45"/>
        <v>0</v>
      </c>
      <c r="AI149" s="1">
        <f t="shared" si="46"/>
        <v>344.73599999999999</v>
      </c>
      <c r="AJ149" s="1">
        <f t="shared" si="47"/>
        <v>574.56000000000006</v>
      </c>
      <c r="AK149" s="1" t="str">
        <f t="shared" si="48"/>
        <v/>
      </c>
      <c r="AL149" s="1" t="str">
        <f t="shared" si="49"/>
        <v/>
      </c>
      <c r="AM149" s="1">
        <f t="shared" si="34"/>
        <v>390</v>
      </c>
      <c r="AN149" s="5">
        <f t="shared" si="35"/>
        <v>0</v>
      </c>
      <c r="AO149" s="1" t="str">
        <f t="shared" si="50"/>
        <v/>
      </c>
    </row>
    <row r="150" spans="1:41">
      <c r="A150" t="s">
        <v>545</v>
      </c>
      <c r="B150" t="s">
        <v>394</v>
      </c>
      <c r="C150" t="s">
        <v>546</v>
      </c>
      <c r="D150">
        <v>1298</v>
      </c>
      <c r="E150">
        <v>298</v>
      </c>
      <c r="F150">
        <v>0</v>
      </c>
      <c r="G150">
        <v>2</v>
      </c>
      <c r="H150">
        <v>1</v>
      </c>
      <c r="I150">
        <v>1</v>
      </c>
      <c r="J150">
        <v>1</v>
      </c>
      <c r="K150">
        <v>1</v>
      </c>
      <c r="L150" t="s">
        <v>539</v>
      </c>
      <c r="M150" t="s">
        <v>540</v>
      </c>
      <c r="N150" t="s">
        <v>440</v>
      </c>
      <c r="O150">
        <v>0</v>
      </c>
      <c r="P150" t="s">
        <v>536</v>
      </c>
      <c r="Q150" t="s">
        <v>374</v>
      </c>
      <c r="R150">
        <v>3136</v>
      </c>
      <c r="S150" t="s">
        <v>540</v>
      </c>
      <c r="U150" t="s">
        <v>83</v>
      </c>
      <c r="V150" t="s">
        <v>463</v>
      </c>
      <c r="W150">
        <v>12279156</v>
      </c>
      <c r="X150" t="s">
        <v>536</v>
      </c>
      <c r="Y150">
        <f t="shared" si="36"/>
        <v>0.77360799999999996</v>
      </c>
      <c r="Z150">
        <f t="shared" si="37"/>
        <v>6.3840000000000003</v>
      </c>
      <c r="AA150">
        <f t="shared" si="38"/>
        <v>6.3840000000000003</v>
      </c>
      <c r="AB150" s="2">
        <f t="shared" si="39"/>
        <v>25</v>
      </c>
      <c r="AC150" s="2">
        <f t="shared" si="40"/>
        <v>18</v>
      </c>
      <c r="AD150" s="2">
        <f t="shared" si="41"/>
        <v>0</v>
      </c>
      <c r="AE150" s="2">
        <f t="shared" si="42"/>
        <v>0</v>
      </c>
      <c r="AF150" s="2">
        <f t="shared" si="43"/>
        <v>8</v>
      </c>
      <c r="AG150" s="2">
        <f t="shared" si="44"/>
        <v>0</v>
      </c>
      <c r="AH150" s="2">
        <f t="shared" si="45"/>
        <v>0</v>
      </c>
      <c r="AI150" s="1">
        <f t="shared" si="46"/>
        <v>229.82400000000001</v>
      </c>
      <c r="AJ150" s="1">
        <f t="shared" si="47"/>
        <v>383.04</v>
      </c>
      <c r="AK150" s="1" t="str">
        <f t="shared" si="48"/>
        <v/>
      </c>
      <c r="AL150" s="1" t="str">
        <f t="shared" si="49"/>
        <v/>
      </c>
      <c r="AM150" s="1">
        <f t="shared" si="34"/>
        <v>260</v>
      </c>
      <c r="AN150" s="5">
        <f t="shared" si="35"/>
        <v>0</v>
      </c>
      <c r="AO150" s="1" t="str">
        <f t="shared" si="50"/>
        <v/>
      </c>
    </row>
    <row r="151" spans="1:41">
      <c r="A151" t="s">
        <v>547</v>
      </c>
      <c r="B151" t="s">
        <v>394</v>
      </c>
      <c r="C151" t="s">
        <v>548</v>
      </c>
      <c r="D151">
        <v>1898</v>
      </c>
      <c r="E151">
        <v>298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1</v>
      </c>
      <c r="L151" t="s">
        <v>549</v>
      </c>
      <c r="M151" t="s">
        <v>550</v>
      </c>
      <c r="N151" t="s">
        <v>440</v>
      </c>
      <c r="O151">
        <v>0</v>
      </c>
      <c r="P151" t="s">
        <v>381</v>
      </c>
      <c r="Q151" t="s">
        <v>374</v>
      </c>
      <c r="R151">
        <v>3136</v>
      </c>
      <c r="S151" t="s">
        <v>550</v>
      </c>
      <c r="U151" t="s">
        <v>83</v>
      </c>
      <c r="V151" t="s">
        <v>375</v>
      </c>
      <c r="W151">
        <v>12277498</v>
      </c>
      <c r="X151" t="s">
        <v>392</v>
      </c>
      <c r="Y151">
        <f t="shared" si="36"/>
        <v>0.565604</v>
      </c>
      <c r="Z151">
        <f t="shared" si="37"/>
        <v>4.3920000000000003</v>
      </c>
      <c r="AA151">
        <f t="shared" si="38"/>
        <v>4.3920000000000003</v>
      </c>
      <c r="AB151" s="2">
        <f t="shared" si="39"/>
        <v>32</v>
      </c>
      <c r="AC151" s="2">
        <f t="shared" si="40"/>
        <v>25</v>
      </c>
      <c r="AD151" s="2">
        <f t="shared" si="41"/>
        <v>0</v>
      </c>
      <c r="AE151" s="2">
        <f t="shared" si="42"/>
        <v>0</v>
      </c>
      <c r="AF151" s="2">
        <f t="shared" si="43"/>
        <v>18</v>
      </c>
      <c r="AG151" s="2">
        <f t="shared" si="44"/>
        <v>0</v>
      </c>
      <c r="AH151" s="2">
        <f t="shared" si="45"/>
        <v>0</v>
      </c>
      <c r="AI151" s="1">
        <f t="shared" si="46"/>
        <v>158.11200000000002</v>
      </c>
      <c r="AJ151" s="1">
        <f t="shared" si="47"/>
        <v>263.52000000000004</v>
      </c>
      <c r="AK151" s="1" t="str">
        <f t="shared" si="48"/>
        <v/>
      </c>
      <c r="AL151" s="1" t="str">
        <f t="shared" si="49"/>
        <v/>
      </c>
      <c r="AM151" s="1">
        <f t="shared" si="34"/>
        <v>130</v>
      </c>
      <c r="AN151" s="5">
        <f t="shared" si="35"/>
        <v>0</v>
      </c>
      <c r="AO151" s="1" t="str">
        <f t="shared" si="50"/>
        <v/>
      </c>
    </row>
    <row r="152" spans="1:41">
      <c r="A152" t="s">
        <v>261</v>
      </c>
      <c r="B152" t="s">
        <v>394</v>
      </c>
      <c r="C152" t="s">
        <v>551</v>
      </c>
      <c r="D152">
        <v>1398</v>
      </c>
      <c r="E152">
        <v>298</v>
      </c>
      <c r="F152">
        <v>0</v>
      </c>
      <c r="G152">
        <v>2</v>
      </c>
      <c r="H152">
        <v>1</v>
      </c>
      <c r="I152">
        <v>1</v>
      </c>
      <c r="J152">
        <v>1</v>
      </c>
      <c r="K152">
        <v>1</v>
      </c>
      <c r="L152" t="s">
        <v>263</v>
      </c>
      <c r="M152" t="s">
        <v>264</v>
      </c>
      <c r="N152" t="s">
        <v>440</v>
      </c>
      <c r="O152">
        <v>0</v>
      </c>
      <c r="P152" t="s">
        <v>441</v>
      </c>
      <c r="Q152" t="s">
        <v>374</v>
      </c>
      <c r="R152">
        <v>3136</v>
      </c>
      <c r="S152" t="s">
        <v>264</v>
      </c>
      <c r="U152" t="s">
        <v>83</v>
      </c>
      <c r="V152" t="s">
        <v>234</v>
      </c>
      <c r="W152">
        <v>12278992</v>
      </c>
      <c r="X152" t="s">
        <v>552</v>
      </c>
      <c r="Y152">
        <f t="shared" si="36"/>
        <v>0.83320799999999995</v>
      </c>
      <c r="Z152">
        <f t="shared" si="37"/>
        <v>6.7839999999999998</v>
      </c>
      <c r="AA152">
        <f t="shared" si="38"/>
        <v>6.7839999999999998</v>
      </c>
      <c r="AB152" s="2">
        <f t="shared" si="39"/>
        <v>42</v>
      </c>
      <c r="AC152" s="2">
        <f t="shared" si="40"/>
        <v>22</v>
      </c>
      <c r="AD152" s="2">
        <f t="shared" si="41"/>
        <v>0</v>
      </c>
      <c r="AE152" s="2">
        <f t="shared" si="42"/>
        <v>32</v>
      </c>
      <c r="AF152" s="2">
        <f t="shared" si="43"/>
        <v>0</v>
      </c>
      <c r="AG152" s="2">
        <f t="shared" si="44"/>
        <v>0</v>
      </c>
      <c r="AH152" s="2">
        <f t="shared" si="45"/>
        <v>0</v>
      </c>
      <c r="AI152" s="1">
        <f t="shared" si="46"/>
        <v>244.22399999999999</v>
      </c>
      <c r="AJ152" s="1">
        <f t="shared" si="47"/>
        <v>407.03999999999996</v>
      </c>
      <c r="AK152" s="1" t="str">
        <f t="shared" si="48"/>
        <v/>
      </c>
      <c r="AL152" s="1">
        <f t="shared" si="49"/>
        <v>480</v>
      </c>
      <c r="AM152" s="1" t="str">
        <f t="shared" si="34"/>
        <v/>
      </c>
      <c r="AN152" s="5">
        <f t="shared" si="35"/>
        <v>0</v>
      </c>
      <c r="AO152" s="1" t="str">
        <f t="shared" si="50"/>
        <v/>
      </c>
    </row>
    <row r="153" spans="1:41">
      <c r="A153" t="s">
        <v>553</v>
      </c>
      <c r="B153" t="s">
        <v>394</v>
      </c>
      <c r="C153" t="s">
        <v>554</v>
      </c>
      <c r="D153">
        <v>698</v>
      </c>
      <c r="E153">
        <v>298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 t="s">
        <v>555</v>
      </c>
      <c r="M153" t="s">
        <v>556</v>
      </c>
      <c r="N153" t="s">
        <v>440</v>
      </c>
      <c r="O153">
        <v>0</v>
      </c>
      <c r="P153" t="s">
        <v>441</v>
      </c>
      <c r="Q153" t="s">
        <v>374</v>
      </c>
      <c r="R153">
        <v>3136</v>
      </c>
      <c r="S153" t="s">
        <v>556</v>
      </c>
      <c r="U153" t="s">
        <v>83</v>
      </c>
      <c r="V153" t="s">
        <v>234</v>
      </c>
      <c r="W153">
        <v>12278987</v>
      </c>
      <c r="X153" t="s">
        <v>442</v>
      </c>
      <c r="Y153">
        <f t="shared" si="36"/>
        <v>0.20800399999999999</v>
      </c>
      <c r="Z153">
        <f t="shared" si="37"/>
        <v>1.992</v>
      </c>
      <c r="AA153">
        <f t="shared" si="38"/>
        <v>1.992</v>
      </c>
      <c r="AB153" s="2">
        <f t="shared" si="39"/>
        <v>30</v>
      </c>
      <c r="AC153" s="2">
        <f t="shared" si="40"/>
        <v>21</v>
      </c>
      <c r="AD153" s="2">
        <f t="shared" si="41"/>
        <v>0</v>
      </c>
      <c r="AE153" s="2">
        <f t="shared" si="42"/>
        <v>0</v>
      </c>
      <c r="AF153" s="2">
        <f t="shared" si="43"/>
        <v>0</v>
      </c>
      <c r="AG153" s="2">
        <f t="shared" si="44"/>
        <v>0</v>
      </c>
      <c r="AH153" s="2">
        <f t="shared" si="45"/>
        <v>0</v>
      </c>
      <c r="AI153" s="1">
        <f t="shared" si="46"/>
        <v>71.712000000000003</v>
      </c>
      <c r="AJ153" s="1">
        <f t="shared" si="47"/>
        <v>119.52</v>
      </c>
      <c r="AK153" s="1" t="str">
        <f t="shared" si="48"/>
        <v/>
      </c>
      <c r="AL153" s="1" t="str">
        <f t="shared" si="49"/>
        <v/>
      </c>
      <c r="AM153" s="1" t="str">
        <f t="shared" si="34"/>
        <v/>
      </c>
      <c r="AN153" s="5">
        <f t="shared" si="35"/>
        <v>0</v>
      </c>
      <c r="AO153" s="1" t="str">
        <f t="shared" si="50"/>
        <v/>
      </c>
    </row>
    <row r="154" spans="1:41">
      <c r="A154" t="s">
        <v>557</v>
      </c>
      <c r="B154" t="s">
        <v>394</v>
      </c>
      <c r="C154" t="s">
        <v>558</v>
      </c>
      <c r="D154">
        <v>798</v>
      </c>
      <c r="E154">
        <v>798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1</v>
      </c>
      <c r="L154" t="s">
        <v>559</v>
      </c>
      <c r="M154" t="s">
        <v>560</v>
      </c>
      <c r="N154" t="s">
        <v>440</v>
      </c>
      <c r="O154">
        <v>0</v>
      </c>
      <c r="P154" t="s">
        <v>561</v>
      </c>
      <c r="Q154" t="s">
        <v>374</v>
      </c>
      <c r="R154">
        <v>3136</v>
      </c>
      <c r="S154" t="s">
        <v>560</v>
      </c>
      <c r="U154" t="s">
        <v>83</v>
      </c>
      <c r="V154" t="s">
        <v>521</v>
      </c>
      <c r="W154">
        <v>12276366</v>
      </c>
      <c r="X154" t="s">
        <v>561</v>
      </c>
      <c r="Y154">
        <f t="shared" si="36"/>
        <v>0.63680400000000004</v>
      </c>
      <c r="Z154">
        <f t="shared" si="37"/>
        <v>3.1920000000000002</v>
      </c>
      <c r="AA154">
        <f t="shared" si="38"/>
        <v>3.1920000000000002</v>
      </c>
      <c r="AB154" s="2">
        <f t="shared" si="39"/>
        <v>19</v>
      </c>
      <c r="AC154" s="2">
        <f t="shared" si="40"/>
        <v>8</v>
      </c>
      <c r="AD154" s="2">
        <f t="shared" si="41"/>
        <v>0</v>
      </c>
      <c r="AE154" s="2">
        <f t="shared" si="42"/>
        <v>0</v>
      </c>
      <c r="AF154" s="2">
        <f t="shared" si="43"/>
        <v>0</v>
      </c>
      <c r="AG154" s="2">
        <f t="shared" si="44"/>
        <v>0</v>
      </c>
      <c r="AH154" s="2">
        <f t="shared" si="45"/>
        <v>0</v>
      </c>
      <c r="AI154" s="1">
        <f t="shared" si="46"/>
        <v>114.91200000000001</v>
      </c>
      <c r="AJ154" s="1">
        <f t="shared" si="47"/>
        <v>191.52</v>
      </c>
      <c r="AK154" s="1" t="str">
        <f t="shared" si="48"/>
        <v/>
      </c>
      <c r="AL154" s="1" t="str">
        <f t="shared" si="49"/>
        <v/>
      </c>
      <c r="AM154" s="1" t="str">
        <f t="shared" si="34"/>
        <v/>
      </c>
      <c r="AN154" s="5">
        <f t="shared" si="35"/>
        <v>0</v>
      </c>
      <c r="AO154" s="1" t="str">
        <f t="shared" si="50"/>
        <v/>
      </c>
    </row>
    <row r="155" spans="1:41">
      <c r="A155" t="s">
        <v>562</v>
      </c>
      <c r="B155" t="s">
        <v>394</v>
      </c>
      <c r="C155" t="s">
        <v>563</v>
      </c>
      <c r="D155">
        <v>677</v>
      </c>
      <c r="E155">
        <v>649</v>
      </c>
      <c r="F155">
        <v>0</v>
      </c>
      <c r="G155">
        <v>4</v>
      </c>
      <c r="H155">
        <v>1</v>
      </c>
      <c r="I155">
        <v>1</v>
      </c>
      <c r="J155">
        <v>1</v>
      </c>
      <c r="K155">
        <v>1</v>
      </c>
      <c r="L155" t="s">
        <v>564</v>
      </c>
      <c r="M155" t="s">
        <v>565</v>
      </c>
      <c r="N155" t="s">
        <v>440</v>
      </c>
      <c r="O155">
        <v>0</v>
      </c>
      <c r="P155" t="s">
        <v>566</v>
      </c>
      <c r="Q155" t="s">
        <v>374</v>
      </c>
      <c r="R155">
        <v>3136</v>
      </c>
      <c r="S155" t="s">
        <v>565</v>
      </c>
      <c r="U155" t="s">
        <v>83</v>
      </c>
      <c r="V155" t="s">
        <v>567</v>
      </c>
      <c r="W155">
        <v>12276527</v>
      </c>
      <c r="X155" t="s">
        <v>568</v>
      </c>
      <c r="Y155">
        <f t="shared" si="36"/>
        <v>1.7574920000000001</v>
      </c>
      <c r="Z155">
        <f t="shared" si="37"/>
        <v>10.608000000000001</v>
      </c>
      <c r="AA155">
        <f t="shared" si="38"/>
        <v>10.608000000000001</v>
      </c>
      <c r="AB155" s="2">
        <f t="shared" si="39"/>
        <v>40</v>
      </c>
      <c r="AC155" s="2">
        <f t="shared" si="40"/>
        <v>29</v>
      </c>
      <c r="AD155" s="2">
        <f t="shared" si="41"/>
        <v>0</v>
      </c>
      <c r="AE155" s="2">
        <f t="shared" si="42"/>
        <v>0</v>
      </c>
      <c r="AF155" s="2">
        <f t="shared" si="43"/>
        <v>18</v>
      </c>
      <c r="AG155" s="2">
        <f t="shared" si="44"/>
        <v>0</v>
      </c>
      <c r="AH155" s="2">
        <f t="shared" si="45"/>
        <v>0</v>
      </c>
      <c r="AI155" s="1">
        <f t="shared" si="46"/>
        <v>381.88800000000003</v>
      </c>
      <c r="AJ155" s="1">
        <f t="shared" si="47"/>
        <v>636.48</v>
      </c>
      <c r="AK155" s="1" t="str">
        <f t="shared" si="48"/>
        <v/>
      </c>
      <c r="AL155" s="1" t="str">
        <f t="shared" si="49"/>
        <v/>
      </c>
      <c r="AM155" s="1">
        <f t="shared" si="34"/>
        <v>520</v>
      </c>
      <c r="AN155" s="5">
        <f t="shared" si="35"/>
        <v>0</v>
      </c>
      <c r="AO155" s="1" t="str">
        <f t="shared" si="50"/>
        <v/>
      </c>
    </row>
    <row r="156" spans="1:41">
      <c r="A156" t="s">
        <v>569</v>
      </c>
      <c r="B156" t="s">
        <v>394</v>
      </c>
      <c r="C156" t="s">
        <v>570</v>
      </c>
      <c r="D156">
        <v>677</v>
      </c>
      <c r="E156">
        <v>649</v>
      </c>
      <c r="F156">
        <v>0</v>
      </c>
      <c r="G156">
        <v>2</v>
      </c>
      <c r="H156">
        <v>1</v>
      </c>
      <c r="I156">
        <v>1</v>
      </c>
      <c r="J156">
        <v>1</v>
      </c>
      <c r="K156">
        <v>1</v>
      </c>
      <c r="L156" t="s">
        <v>564</v>
      </c>
      <c r="M156" t="s">
        <v>565</v>
      </c>
      <c r="N156" t="s">
        <v>440</v>
      </c>
      <c r="O156">
        <v>0</v>
      </c>
      <c r="P156" t="s">
        <v>566</v>
      </c>
      <c r="Q156" t="s">
        <v>374</v>
      </c>
      <c r="R156">
        <v>3136</v>
      </c>
      <c r="S156" t="s">
        <v>565</v>
      </c>
      <c r="U156" t="s">
        <v>83</v>
      </c>
      <c r="V156" t="s">
        <v>567</v>
      </c>
      <c r="W156">
        <v>12276527</v>
      </c>
      <c r="X156" t="s">
        <v>568</v>
      </c>
      <c r="Y156">
        <f t="shared" si="36"/>
        <v>0.87874600000000003</v>
      </c>
      <c r="Z156">
        <f t="shared" si="37"/>
        <v>5.3040000000000003</v>
      </c>
      <c r="AA156">
        <f t="shared" si="38"/>
        <v>5.3040000000000003</v>
      </c>
      <c r="AB156" s="2">
        <f t="shared" si="39"/>
        <v>39</v>
      </c>
      <c r="AC156" s="2">
        <f t="shared" si="40"/>
        <v>28</v>
      </c>
      <c r="AD156" s="2">
        <f t="shared" si="41"/>
        <v>0</v>
      </c>
      <c r="AE156" s="2">
        <f t="shared" si="42"/>
        <v>0</v>
      </c>
      <c r="AF156" s="2">
        <f t="shared" si="43"/>
        <v>18</v>
      </c>
      <c r="AG156" s="2">
        <f t="shared" si="44"/>
        <v>0</v>
      </c>
      <c r="AH156" s="2">
        <f t="shared" si="45"/>
        <v>0</v>
      </c>
      <c r="AI156" s="1">
        <f t="shared" si="46"/>
        <v>190.94400000000002</v>
      </c>
      <c r="AJ156" s="1">
        <f t="shared" si="47"/>
        <v>318.24</v>
      </c>
      <c r="AK156" s="1" t="str">
        <f t="shared" si="48"/>
        <v/>
      </c>
      <c r="AL156" s="1" t="str">
        <f t="shared" si="49"/>
        <v/>
      </c>
      <c r="AM156" s="1">
        <f t="shared" si="34"/>
        <v>260</v>
      </c>
      <c r="AN156" s="5">
        <f t="shared" si="35"/>
        <v>0</v>
      </c>
      <c r="AO156" s="1" t="str">
        <f t="shared" si="50"/>
        <v/>
      </c>
    </row>
    <row r="157" spans="1:41">
      <c r="A157" t="s">
        <v>571</v>
      </c>
      <c r="B157" t="s">
        <v>394</v>
      </c>
      <c r="C157" t="s">
        <v>572</v>
      </c>
      <c r="D157">
        <v>1998</v>
      </c>
      <c r="E157">
        <v>450</v>
      </c>
      <c r="F157">
        <v>0</v>
      </c>
      <c r="G157">
        <v>2</v>
      </c>
      <c r="H157">
        <v>1</v>
      </c>
      <c r="I157">
        <v>1</v>
      </c>
      <c r="J157">
        <v>1</v>
      </c>
      <c r="K157">
        <v>1</v>
      </c>
      <c r="L157" t="s">
        <v>573</v>
      </c>
      <c r="M157" t="s">
        <v>574</v>
      </c>
      <c r="N157" t="s">
        <v>440</v>
      </c>
      <c r="O157">
        <v>0</v>
      </c>
      <c r="P157" t="s">
        <v>566</v>
      </c>
      <c r="Q157" t="s">
        <v>374</v>
      </c>
      <c r="R157">
        <v>3136</v>
      </c>
      <c r="S157" t="s">
        <v>574</v>
      </c>
      <c r="U157" t="s">
        <v>83</v>
      </c>
      <c r="V157" t="s">
        <v>567</v>
      </c>
      <c r="W157">
        <v>12276559</v>
      </c>
      <c r="X157" t="s">
        <v>575</v>
      </c>
      <c r="Y157">
        <f t="shared" si="36"/>
        <v>1.7982</v>
      </c>
      <c r="Z157">
        <f t="shared" si="37"/>
        <v>9.7919999999999998</v>
      </c>
      <c r="AA157">
        <f t="shared" si="38"/>
        <v>9.7919999999999998</v>
      </c>
      <c r="AB157" s="2">
        <f t="shared" si="39"/>
        <v>38</v>
      </c>
      <c r="AC157" s="2">
        <f t="shared" si="40"/>
        <v>28</v>
      </c>
      <c r="AD157" s="2">
        <f t="shared" si="41"/>
        <v>0</v>
      </c>
      <c r="AE157" s="2">
        <f t="shared" si="42"/>
        <v>0</v>
      </c>
      <c r="AF157" s="2">
        <f t="shared" si="43"/>
        <v>18</v>
      </c>
      <c r="AG157" s="2">
        <f t="shared" si="44"/>
        <v>0</v>
      </c>
      <c r="AH157" s="2">
        <f t="shared" si="45"/>
        <v>0</v>
      </c>
      <c r="AI157" s="1">
        <f t="shared" si="46"/>
        <v>352.512</v>
      </c>
      <c r="AJ157" s="1">
        <f t="shared" si="47"/>
        <v>587.52</v>
      </c>
      <c r="AK157" s="1" t="str">
        <f t="shared" si="48"/>
        <v/>
      </c>
      <c r="AL157" s="1" t="str">
        <f t="shared" si="49"/>
        <v/>
      </c>
      <c r="AM157" s="1">
        <f t="shared" si="34"/>
        <v>260</v>
      </c>
      <c r="AN157" s="5">
        <f t="shared" si="35"/>
        <v>0</v>
      </c>
      <c r="AO157" s="1" t="str">
        <f t="shared" si="50"/>
        <v/>
      </c>
    </row>
    <row r="158" spans="1:41">
      <c r="A158" t="s">
        <v>576</v>
      </c>
      <c r="B158" t="s">
        <v>577</v>
      </c>
      <c r="C158" t="s">
        <v>578</v>
      </c>
      <c r="D158">
        <v>996</v>
      </c>
      <c r="E158">
        <v>500</v>
      </c>
      <c r="F158">
        <v>0</v>
      </c>
      <c r="G158">
        <v>1</v>
      </c>
      <c r="H158">
        <v>1</v>
      </c>
      <c r="I158">
        <v>1</v>
      </c>
      <c r="J158">
        <v>1</v>
      </c>
      <c r="K158">
        <v>1</v>
      </c>
      <c r="L158" t="s">
        <v>579</v>
      </c>
      <c r="M158" t="s">
        <v>580</v>
      </c>
      <c r="N158" t="s">
        <v>581</v>
      </c>
      <c r="O158">
        <v>0</v>
      </c>
      <c r="P158" t="s">
        <v>271</v>
      </c>
      <c r="Q158" t="s">
        <v>134</v>
      </c>
      <c r="R158">
        <v>10695</v>
      </c>
      <c r="S158" t="s">
        <v>580</v>
      </c>
      <c r="U158" t="s">
        <v>272</v>
      </c>
      <c r="V158" t="s">
        <v>273</v>
      </c>
      <c r="W158">
        <v>12277941</v>
      </c>
      <c r="X158" t="s">
        <v>582</v>
      </c>
      <c r="Y158">
        <f t="shared" si="36"/>
        <v>0.498</v>
      </c>
      <c r="Z158">
        <f t="shared" si="37"/>
        <v>2.992</v>
      </c>
      <c r="AA158">
        <f t="shared" si="38"/>
        <v>2.992</v>
      </c>
      <c r="AB158" s="2">
        <f t="shared" si="39"/>
        <v>15</v>
      </c>
      <c r="AC158" s="2">
        <f t="shared" si="40"/>
        <v>12</v>
      </c>
      <c r="AD158" s="2">
        <f t="shared" si="41"/>
        <v>0</v>
      </c>
      <c r="AE158" s="2">
        <f t="shared" si="42"/>
        <v>0</v>
      </c>
      <c r="AF158" s="2">
        <f t="shared" si="43"/>
        <v>9</v>
      </c>
      <c r="AG158" s="2">
        <f t="shared" si="44"/>
        <v>0</v>
      </c>
      <c r="AH158" s="2">
        <f t="shared" si="45"/>
        <v>0</v>
      </c>
      <c r="AI158" s="1">
        <f t="shared" si="46"/>
        <v>107.712</v>
      </c>
      <c r="AJ158" s="1">
        <f t="shared" si="47"/>
        <v>179.52</v>
      </c>
      <c r="AK158" s="1" t="str">
        <f t="shared" si="48"/>
        <v/>
      </c>
      <c r="AL158" s="1" t="str">
        <f t="shared" si="49"/>
        <v/>
      </c>
      <c r="AM158" s="1">
        <f t="shared" si="34"/>
        <v>130</v>
      </c>
      <c r="AN158" s="5">
        <f t="shared" si="35"/>
        <v>0</v>
      </c>
      <c r="AO158" s="1" t="str">
        <f t="shared" si="50"/>
        <v/>
      </c>
    </row>
    <row r="159" spans="1:41">
      <c r="A159" t="s">
        <v>583</v>
      </c>
      <c r="B159" t="s">
        <v>577</v>
      </c>
      <c r="C159" t="s">
        <v>584</v>
      </c>
      <c r="D159">
        <v>574</v>
      </c>
      <c r="E159">
        <v>449</v>
      </c>
      <c r="F159">
        <v>0</v>
      </c>
      <c r="G159">
        <v>1</v>
      </c>
      <c r="I159">
        <v>1</v>
      </c>
      <c r="L159" t="s">
        <v>583</v>
      </c>
      <c r="M159" t="s">
        <v>585</v>
      </c>
      <c r="N159" t="s">
        <v>581</v>
      </c>
      <c r="O159">
        <v>0</v>
      </c>
      <c r="P159" t="s">
        <v>271</v>
      </c>
      <c r="Q159" t="s">
        <v>134</v>
      </c>
      <c r="R159">
        <v>10695</v>
      </c>
      <c r="S159" t="s">
        <v>585</v>
      </c>
      <c r="U159" t="s">
        <v>272</v>
      </c>
      <c r="V159" t="s">
        <v>273</v>
      </c>
      <c r="W159">
        <v>12277944</v>
      </c>
      <c r="X159" t="s">
        <v>582</v>
      </c>
      <c r="Y159">
        <f t="shared" si="36"/>
        <v>0.25772600000000001</v>
      </c>
      <c r="Z159">
        <f t="shared" si="37"/>
        <v>2.0459999999999998</v>
      </c>
      <c r="AA159">
        <f t="shared" si="38"/>
        <v>0.57399999999999995</v>
      </c>
      <c r="AB159" s="2">
        <f t="shared" si="39"/>
        <v>18</v>
      </c>
      <c r="AC159" s="2">
        <f t="shared" si="40"/>
        <v>15</v>
      </c>
      <c r="AD159" s="2">
        <f t="shared" si="41"/>
        <v>0</v>
      </c>
      <c r="AE159" s="2">
        <f t="shared" si="42"/>
        <v>0</v>
      </c>
      <c r="AF159" s="2">
        <f t="shared" si="43"/>
        <v>12</v>
      </c>
      <c r="AG159" s="2">
        <f t="shared" si="44"/>
        <v>0</v>
      </c>
      <c r="AH159" s="2">
        <f t="shared" si="45"/>
        <v>0</v>
      </c>
      <c r="AI159" s="1">
        <f t="shared" si="46"/>
        <v>73.655999999999992</v>
      </c>
      <c r="AJ159" s="1">
        <f t="shared" si="47"/>
        <v>34.44</v>
      </c>
      <c r="AK159" s="1" t="str">
        <f t="shared" si="48"/>
        <v/>
      </c>
      <c r="AL159" s="1" t="str">
        <f t="shared" si="49"/>
        <v/>
      </c>
      <c r="AM159" s="1">
        <f t="shared" si="34"/>
        <v>130</v>
      </c>
      <c r="AN159" s="5">
        <f t="shared" si="35"/>
        <v>0</v>
      </c>
      <c r="AO159" s="1" t="str">
        <f t="shared" si="50"/>
        <v/>
      </c>
    </row>
    <row r="160" spans="1:41">
      <c r="A160" t="s">
        <v>586</v>
      </c>
      <c r="B160" t="s">
        <v>577</v>
      </c>
      <c r="C160" t="s">
        <v>587</v>
      </c>
      <c r="D160">
        <v>572</v>
      </c>
      <c r="E160">
        <v>502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1</v>
      </c>
      <c r="L160" t="s">
        <v>588</v>
      </c>
      <c r="M160" t="s">
        <v>589</v>
      </c>
      <c r="N160" t="s">
        <v>581</v>
      </c>
      <c r="O160">
        <v>0</v>
      </c>
      <c r="P160" t="s">
        <v>271</v>
      </c>
      <c r="Q160" t="s">
        <v>134</v>
      </c>
      <c r="R160">
        <v>10695</v>
      </c>
      <c r="S160" t="s">
        <v>589</v>
      </c>
      <c r="U160" t="s">
        <v>272</v>
      </c>
      <c r="V160" t="s">
        <v>273</v>
      </c>
      <c r="W160">
        <v>12277947</v>
      </c>
      <c r="X160" t="s">
        <v>582</v>
      </c>
      <c r="Y160">
        <f t="shared" si="36"/>
        <v>0.28714400000000001</v>
      </c>
      <c r="Z160">
        <f t="shared" si="37"/>
        <v>2.1480000000000001</v>
      </c>
      <c r="AA160">
        <f t="shared" si="38"/>
        <v>2.1480000000000001</v>
      </c>
      <c r="AB160" s="2">
        <f t="shared" si="39"/>
        <v>15</v>
      </c>
      <c r="AC160" s="2">
        <f t="shared" si="40"/>
        <v>12</v>
      </c>
      <c r="AD160" s="2">
        <f t="shared" si="41"/>
        <v>0</v>
      </c>
      <c r="AE160" s="2">
        <f t="shared" si="42"/>
        <v>0</v>
      </c>
      <c r="AF160" s="2">
        <f t="shared" si="43"/>
        <v>9</v>
      </c>
      <c r="AG160" s="2">
        <f t="shared" si="44"/>
        <v>0</v>
      </c>
      <c r="AH160" s="2">
        <f t="shared" si="45"/>
        <v>0</v>
      </c>
      <c r="AI160" s="1">
        <f t="shared" si="46"/>
        <v>77.328000000000003</v>
      </c>
      <c r="AJ160" s="1">
        <f t="shared" si="47"/>
        <v>128.88</v>
      </c>
      <c r="AK160" s="1" t="str">
        <f t="shared" si="48"/>
        <v/>
      </c>
      <c r="AL160" s="1" t="str">
        <f t="shared" si="49"/>
        <v/>
      </c>
      <c r="AM160" s="1">
        <f t="shared" si="34"/>
        <v>130</v>
      </c>
      <c r="AN160" s="5">
        <f t="shared" si="35"/>
        <v>0</v>
      </c>
      <c r="AO160" s="1" t="str">
        <f t="shared" si="50"/>
        <v/>
      </c>
    </row>
    <row r="161" spans="1:41">
      <c r="A161" t="s">
        <v>590</v>
      </c>
      <c r="B161" t="s">
        <v>577</v>
      </c>
      <c r="C161" t="s">
        <v>591</v>
      </c>
      <c r="D161">
        <v>574</v>
      </c>
      <c r="E161">
        <v>449</v>
      </c>
      <c r="F161">
        <v>0</v>
      </c>
      <c r="G161">
        <v>1</v>
      </c>
      <c r="H161">
        <v>1</v>
      </c>
      <c r="L161" t="s">
        <v>592</v>
      </c>
      <c r="M161" t="s">
        <v>593</v>
      </c>
      <c r="N161" t="s">
        <v>581</v>
      </c>
      <c r="O161">
        <v>0</v>
      </c>
      <c r="P161" t="s">
        <v>271</v>
      </c>
      <c r="Q161" t="s">
        <v>134</v>
      </c>
      <c r="R161">
        <v>10695</v>
      </c>
      <c r="S161" t="s">
        <v>593</v>
      </c>
      <c r="U161" t="s">
        <v>272</v>
      </c>
      <c r="V161" t="s">
        <v>273</v>
      </c>
      <c r="W161">
        <v>12277950</v>
      </c>
      <c r="X161" t="s">
        <v>582</v>
      </c>
      <c r="Y161">
        <f t="shared" si="36"/>
        <v>0.25772600000000001</v>
      </c>
      <c r="Z161">
        <f t="shared" si="37"/>
        <v>2.0459999999999998</v>
      </c>
      <c r="AA161">
        <f t="shared" si="38"/>
        <v>0.57399999999999995</v>
      </c>
      <c r="AB161" s="2">
        <f t="shared" si="39"/>
        <v>18</v>
      </c>
      <c r="AC161" s="2">
        <f t="shared" si="40"/>
        <v>15</v>
      </c>
      <c r="AD161" s="2">
        <f t="shared" si="41"/>
        <v>0</v>
      </c>
      <c r="AE161" s="2">
        <f t="shared" si="42"/>
        <v>0</v>
      </c>
      <c r="AF161" s="2">
        <f t="shared" si="43"/>
        <v>12</v>
      </c>
      <c r="AG161" s="2">
        <f t="shared" si="44"/>
        <v>0</v>
      </c>
      <c r="AH161" s="2">
        <f t="shared" si="45"/>
        <v>0</v>
      </c>
      <c r="AI161" s="1">
        <f t="shared" si="46"/>
        <v>73.655999999999992</v>
      </c>
      <c r="AJ161" s="1">
        <f t="shared" si="47"/>
        <v>34.44</v>
      </c>
      <c r="AK161" s="1" t="str">
        <f t="shared" si="48"/>
        <v/>
      </c>
      <c r="AL161" s="1" t="str">
        <f t="shared" si="49"/>
        <v/>
      </c>
      <c r="AM161" s="1">
        <f t="shared" si="34"/>
        <v>130</v>
      </c>
      <c r="AN161" s="5">
        <f t="shared" si="35"/>
        <v>0</v>
      </c>
      <c r="AO161" s="1" t="str">
        <f t="shared" si="50"/>
        <v/>
      </c>
    </row>
    <row r="162" spans="1:41">
      <c r="A162" t="s">
        <v>594</v>
      </c>
      <c r="B162" t="s">
        <v>577</v>
      </c>
      <c r="C162" t="s">
        <v>595</v>
      </c>
      <c r="D162">
        <v>572</v>
      </c>
      <c r="E162">
        <v>502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1</v>
      </c>
      <c r="L162" t="s">
        <v>596</v>
      </c>
      <c r="M162" t="s">
        <v>597</v>
      </c>
      <c r="N162" t="s">
        <v>581</v>
      </c>
      <c r="O162">
        <v>0</v>
      </c>
      <c r="P162" t="s">
        <v>271</v>
      </c>
      <c r="Q162" t="s">
        <v>134</v>
      </c>
      <c r="R162">
        <v>10695</v>
      </c>
      <c r="S162" t="s">
        <v>597</v>
      </c>
      <c r="U162" t="s">
        <v>272</v>
      </c>
      <c r="V162" t="s">
        <v>273</v>
      </c>
      <c r="W162">
        <v>12277953</v>
      </c>
      <c r="X162" t="s">
        <v>582</v>
      </c>
      <c r="Y162">
        <f t="shared" si="36"/>
        <v>0.28714400000000001</v>
      </c>
      <c r="Z162">
        <f t="shared" si="37"/>
        <v>2.1480000000000001</v>
      </c>
      <c r="AA162">
        <f t="shared" si="38"/>
        <v>2.1480000000000001</v>
      </c>
      <c r="AB162" s="2">
        <f t="shared" si="39"/>
        <v>15</v>
      </c>
      <c r="AC162" s="2">
        <f t="shared" si="40"/>
        <v>12</v>
      </c>
      <c r="AD162" s="2">
        <f t="shared" si="41"/>
        <v>0</v>
      </c>
      <c r="AE162" s="2">
        <f t="shared" si="42"/>
        <v>0</v>
      </c>
      <c r="AF162" s="2">
        <f t="shared" si="43"/>
        <v>9</v>
      </c>
      <c r="AG162" s="2">
        <f t="shared" si="44"/>
        <v>0</v>
      </c>
      <c r="AH162" s="2">
        <f t="shared" si="45"/>
        <v>0</v>
      </c>
      <c r="AI162" s="1">
        <f t="shared" si="46"/>
        <v>77.328000000000003</v>
      </c>
      <c r="AJ162" s="1">
        <f t="shared" si="47"/>
        <v>128.88</v>
      </c>
      <c r="AK162" s="1" t="str">
        <f t="shared" si="48"/>
        <v/>
      </c>
      <c r="AL162" s="1" t="str">
        <f t="shared" si="49"/>
        <v/>
      </c>
      <c r="AM162" s="1">
        <f t="shared" si="34"/>
        <v>130</v>
      </c>
      <c r="AN162" s="5">
        <f t="shared" si="35"/>
        <v>0</v>
      </c>
      <c r="AO162" s="1" t="str">
        <f t="shared" si="50"/>
        <v/>
      </c>
    </row>
    <row r="163" spans="1:41">
      <c r="A163" t="s">
        <v>598</v>
      </c>
      <c r="B163" t="s">
        <v>577</v>
      </c>
      <c r="C163" t="s">
        <v>599</v>
      </c>
      <c r="D163">
        <v>572</v>
      </c>
      <c r="E163">
        <v>497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 t="s">
        <v>600</v>
      </c>
      <c r="M163" t="s">
        <v>601</v>
      </c>
      <c r="N163" t="s">
        <v>581</v>
      </c>
      <c r="O163">
        <v>0</v>
      </c>
      <c r="P163" t="s">
        <v>271</v>
      </c>
      <c r="Q163" t="s">
        <v>134</v>
      </c>
      <c r="R163">
        <v>10695</v>
      </c>
      <c r="S163" t="s">
        <v>601</v>
      </c>
      <c r="U163" t="s">
        <v>272</v>
      </c>
      <c r="V163" t="s">
        <v>273</v>
      </c>
      <c r="W163">
        <v>12277956</v>
      </c>
      <c r="X163" t="s">
        <v>582</v>
      </c>
      <c r="Y163">
        <f t="shared" si="36"/>
        <v>0.28428399999999998</v>
      </c>
      <c r="Z163">
        <f t="shared" si="37"/>
        <v>2.1379999999999999</v>
      </c>
      <c r="AA163">
        <f t="shared" si="38"/>
        <v>2.1379999999999999</v>
      </c>
      <c r="AB163" s="2">
        <f t="shared" si="39"/>
        <v>15</v>
      </c>
      <c r="AC163" s="2">
        <f t="shared" si="40"/>
        <v>12</v>
      </c>
      <c r="AD163" s="2">
        <f t="shared" si="41"/>
        <v>0</v>
      </c>
      <c r="AE163" s="2">
        <f t="shared" si="42"/>
        <v>0</v>
      </c>
      <c r="AF163" s="2">
        <f t="shared" si="43"/>
        <v>9</v>
      </c>
      <c r="AG163" s="2">
        <f t="shared" si="44"/>
        <v>0</v>
      </c>
      <c r="AH163" s="2">
        <f t="shared" si="45"/>
        <v>0</v>
      </c>
      <c r="AI163" s="1">
        <f t="shared" si="46"/>
        <v>76.967999999999989</v>
      </c>
      <c r="AJ163" s="1">
        <f t="shared" si="47"/>
        <v>128.28</v>
      </c>
      <c r="AK163" s="1" t="str">
        <f t="shared" si="48"/>
        <v/>
      </c>
      <c r="AL163" s="1" t="str">
        <f t="shared" si="49"/>
        <v/>
      </c>
      <c r="AM163" s="1">
        <f t="shared" si="34"/>
        <v>130</v>
      </c>
      <c r="AN163" s="5">
        <f t="shared" si="35"/>
        <v>0</v>
      </c>
      <c r="AO163" s="1" t="str">
        <f t="shared" si="50"/>
        <v/>
      </c>
    </row>
    <row r="164" spans="1:41">
      <c r="A164" t="s">
        <v>602</v>
      </c>
      <c r="B164" t="s">
        <v>577</v>
      </c>
      <c r="C164" t="s">
        <v>603</v>
      </c>
      <c r="D164">
        <v>996</v>
      </c>
      <c r="E164">
        <v>500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1</v>
      </c>
      <c r="L164" t="s">
        <v>604</v>
      </c>
      <c r="M164" t="s">
        <v>605</v>
      </c>
      <c r="N164" t="s">
        <v>581</v>
      </c>
      <c r="O164">
        <v>0</v>
      </c>
      <c r="P164" t="s">
        <v>271</v>
      </c>
      <c r="Q164" t="s">
        <v>134</v>
      </c>
      <c r="R164">
        <v>10695</v>
      </c>
      <c r="S164" t="s">
        <v>605</v>
      </c>
      <c r="U164" t="s">
        <v>272</v>
      </c>
      <c r="V164" t="s">
        <v>273</v>
      </c>
      <c r="W164">
        <v>12277958</v>
      </c>
      <c r="X164" t="s">
        <v>582</v>
      </c>
      <c r="Y164">
        <f t="shared" si="36"/>
        <v>0.498</v>
      </c>
      <c r="Z164">
        <f t="shared" si="37"/>
        <v>2.992</v>
      </c>
      <c r="AA164">
        <f t="shared" si="38"/>
        <v>2.992</v>
      </c>
      <c r="AB164" s="2">
        <f t="shared" si="39"/>
        <v>15</v>
      </c>
      <c r="AC164" s="2">
        <f t="shared" si="40"/>
        <v>12</v>
      </c>
      <c r="AD164" s="2">
        <f t="shared" si="41"/>
        <v>0</v>
      </c>
      <c r="AE164" s="2">
        <f t="shared" si="42"/>
        <v>0</v>
      </c>
      <c r="AF164" s="2">
        <f t="shared" si="43"/>
        <v>9</v>
      </c>
      <c r="AG164" s="2">
        <f t="shared" si="44"/>
        <v>0</v>
      </c>
      <c r="AH164" s="2">
        <f t="shared" si="45"/>
        <v>0</v>
      </c>
      <c r="AI164" s="1">
        <f t="shared" si="46"/>
        <v>107.712</v>
      </c>
      <c r="AJ164" s="1">
        <f t="shared" si="47"/>
        <v>179.52</v>
      </c>
      <c r="AK164" s="1" t="str">
        <f t="shared" si="48"/>
        <v/>
      </c>
      <c r="AL164" s="1" t="str">
        <f t="shared" si="49"/>
        <v/>
      </c>
      <c r="AM164" s="1">
        <f t="shared" si="34"/>
        <v>130</v>
      </c>
      <c r="AN164" s="5">
        <f t="shared" si="35"/>
        <v>0</v>
      </c>
      <c r="AO164" s="1" t="str">
        <f t="shared" si="50"/>
        <v/>
      </c>
    </row>
    <row r="165" spans="1:41">
      <c r="A165" t="s">
        <v>606</v>
      </c>
      <c r="B165" t="s">
        <v>577</v>
      </c>
      <c r="C165" t="s">
        <v>607</v>
      </c>
      <c r="D165">
        <v>499</v>
      </c>
      <c r="E165">
        <v>467</v>
      </c>
      <c r="F165">
        <v>0</v>
      </c>
      <c r="G165">
        <v>1</v>
      </c>
      <c r="H165">
        <v>1</v>
      </c>
      <c r="L165" t="s">
        <v>608</v>
      </c>
      <c r="M165" t="s">
        <v>609</v>
      </c>
      <c r="N165" t="s">
        <v>581</v>
      </c>
      <c r="O165">
        <v>0</v>
      </c>
      <c r="P165" t="s">
        <v>271</v>
      </c>
      <c r="Q165" t="s">
        <v>134</v>
      </c>
      <c r="R165">
        <v>10695</v>
      </c>
      <c r="S165" t="s">
        <v>609</v>
      </c>
      <c r="U165" t="s">
        <v>272</v>
      </c>
      <c r="V165" t="s">
        <v>273</v>
      </c>
      <c r="W165">
        <v>12277961</v>
      </c>
      <c r="X165" t="s">
        <v>582</v>
      </c>
      <c r="Y165">
        <f t="shared" si="36"/>
        <v>0.23303299999999999</v>
      </c>
      <c r="Z165">
        <f t="shared" si="37"/>
        <v>1.9319999999999999</v>
      </c>
      <c r="AA165">
        <f t="shared" si="38"/>
        <v>0.499</v>
      </c>
      <c r="AB165" s="2">
        <f t="shared" si="39"/>
        <v>12</v>
      </c>
      <c r="AC165" s="2">
        <f t="shared" si="40"/>
        <v>9</v>
      </c>
      <c r="AD165" s="2">
        <f t="shared" si="41"/>
        <v>0</v>
      </c>
      <c r="AE165" s="2">
        <f t="shared" si="42"/>
        <v>0</v>
      </c>
      <c r="AF165" s="2">
        <f t="shared" si="43"/>
        <v>0</v>
      </c>
      <c r="AG165" s="2">
        <f t="shared" si="44"/>
        <v>0</v>
      </c>
      <c r="AH165" s="2">
        <f t="shared" si="45"/>
        <v>0</v>
      </c>
      <c r="AI165" s="1">
        <f t="shared" si="46"/>
        <v>69.551999999999992</v>
      </c>
      <c r="AJ165" s="1">
        <f t="shared" si="47"/>
        <v>29.94</v>
      </c>
      <c r="AK165" s="1" t="str">
        <f t="shared" si="48"/>
        <v/>
      </c>
      <c r="AL165" s="1" t="str">
        <f t="shared" si="49"/>
        <v/>
      </c>
      <c r="AM165" s="1" t="str">
        <f t="shared" si="34"/>
        <v/>
      </c>
      <c r="AN165" s="5">
        <f t="shared" si="35"/>
        <v>0</v>
      </c>
      <c r="AO165" s="1" t="str">
        <f t="shared" si="50"/>
        <v/>
      </c>
    </row>
    <row r="166" spans="1:41">
      <c r="A166" t="s">
        <v>610</v>
      </c>
      <c r="B166" t="s">
        <v>577</v>
      </c>
      <c r="C166" t="s">
        <v>611</v>
      </c>
      <c r="D166">
        <v>493</v>
      </c>
      <c r="E166">
        <v>183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1</v>
      </c>
      <c r="L166" t="s">
        <v>612</v>
      </c>
      <c r="M166" t="s">
        <v>613</v>
      </c>
      <c r="N166" t="s">
        <v>581</v>
      </c>
      <c r="O166">
        <v>0</v>
      </c>
      <c r="P166" t="s">
        <v>271</v>
      </c>
      <c r="Q166" t="s">
        <v>134</v>
      </c>
      <c r="R166">
        <v>10695</v>
      </c>
      <c r="S166" t="s">
        <v>613</v>
      </c>
      <c r="U166" t="s">
        <v>272</v>
      </c>
      <c r="V166" t="s">
        <v>273</v>
      </c>
      <c r="W166">
        <v>12277964</v>
      </c>
      <c r="X166" t="s">
        <v>582</v>
      </c>
      <c r="Y166">
        <f t="shared" si="36"/>
        <v>9.0218999999999994E-2</v>
      </c>
      <c r="Z166">
        <f t="shared" si="37"/>
        <v>1.3520000000000001</v>
      </c>
      <c r="AA166">
        <f t="shared" si="38"/>
        <v>1.3520000000000001</v>
      </c>
      <c r="AB166" s="2">
        <f t="shared" si="39"/>
        <v>21</v>
      </c>
      <c r="AC166" s="2">
        <f t="shared" si="40"/>
        <v>15</v>
      </c>
      <c r="AD166" s="2">
        <f t="shared" si="41"/>
        <v>0</v>
      </c>
      <c r="AE166" s="2">
        <f t="shared" si="42"/>
        <v>18</v>
      </c>
      <c r="AF166" s="2">
        <f t="shared" si="43"/>
        <v>12</v>
      </c>
      <c r="AG166" s="2">
        <f t="shared" si="44"/>
        <v>0</v>
      </c>
      <c r="AH166" s="2">
        <f t="shared" si="45"/>
        <v>0</v>
      </c>
      <c r="AI166" s="1">
        <f t="shared" si="46"/>
        <v>48.672000000000004</v>
      </c>
      <c r="AJ166" s="1">
        <f t="shared" si="47"/>
        <v>81.12</v>
      </c>
      <c r="AK166" s="1" t="str">
        <f t="shared" si="48"/>
        <v/>
      </c>
      <c r="AL166" s="1">
        <f t="shared" si="49"/>
        <v>240</v>
      </c>
      <c r="AM166" s="1">
        <f t="shared" si="34"/>
        <v>130</v>
      </c>
      <c r="AN166" s="5">
        <f t="shared" si="35"/>
        <v>0</v>
      </c>
      <c r="AO166" s="1" t="str">
        <f t="shared" si="50"/>
        <v/>
      </c>
    </row>
    <row r="167" spans="1:41">
      <c r="A167" t="s">
        <v>614</v>
      </c>
      <c r="B167" t="s">
        <v>577</v>
      </c>
      <c r="C167" t="s">
        <v>615</v>
      </c>
      <c r="D167">
        <v>493</v>
      </c>
      <c r="E167">
        <v>183</v>
      </c>
      <c r="F167">
        <v>0</v>
      </c>
      <c r="G167">
        <v>2</v>
      </c>
      <c r="H167">
        <v>1</v>
      </c>
      <c r="I167">
        <v>1</v>
      </c>
      <c r="J167">
        <v>1</v>
      </c>
      <c r="K167">
        <v>1</v>
      </c>
      <c r="L167" t="s">
        <v>616</v>
      </c>
      <c r="M167" t="s">
        <v>617</v>
      </c>
      <c r="N167" t="s">
        <v>581</v>
      </c>
      <c r="O167">
        <v>0</v>
      </c>
      <c r="P167" t="s">
        <v>271</v>
      </c>
      <c r="Q167" t="s">
        <v>134</v>
      </c>
      <c r="R167">
        <v>10695</v>
      </c>
      <c r="S167" t="s">
        <v>617</v>
      </c>
      <c r="U167" t="s">
        <v>272</v>
      </c>
      <c r="V167" t="s">
        <v>273</v>
      </c>
      <c r="W167">
        <v>12277988</v>
      </c>
      <c r="X167" t="s">
        <v>582</v>
      </c>
      <c r="Y167">
        <f t="shared" si="36"/>
        <v>0.18043799999999999</v>
      </c>
      <c r="Z167">
        <f t="shared" si="37"/>
        <v>2.7040000000000002</v>
      </c>
      <c r="AA167">
        <f t="shared" si="38"/>
        <v>2.7040000000000002</v>
      </c>
      <c r="AB167" s="2">
        <f t="shared" si="39"/>
        <v>18</v>
      </c>
      <c r="AC167" s="2">
        <f t="shared" si="40"/>
        <v>12</v>
      </c>
      <c r="AD167" s="2">
        <f t="shared" si="41"/>
        <v>0</v>
      </c>
      <c r="AE167" s="2">
        <f t="shared" si="42"/>
        <v>15</v>
      </c>
      <c r="AF167" s="2">
        <f t="shared" si="43"/>
        <v>9</v>
      </c>
      <c r="AG167" s="2">
        <f t="shared" si="44"/>
        <v>0</v>
      </c>
      <c r="AH167" s="2">
        <f t="shared" si="45"/>
        <v>0</v>
      </c>
      <c r="AI167" s="1">
        <f t="shared" si="46"/>
        <v>97.344000000000008</v>
      </c>
      <c r="AJ167" s="1">
        <f t="shared" si="47"/>
        <v>162.24</v>
      </c>
      <c r="AK167" s="1" t="str">
        <f t="shared" si="48"/>
        <v/>
      </c>
      <c r="AL167" s="1">
        <f t="shared" si="49"/>
        <v>480</v>
      </c>
      <c r="AM167" s="1">
        <f t="shared" si="34"/>
        <v>260</v>
      </c>
      <c r="AN167" s="5">
        <f t="shared" si="35"/>
        <v>0</v>
      </c>
      <c r="AO167" s="1" t="str">
        <f t="shared" si="50"/>
        <v/>
      </c>
    </row>
    <row r="168" spans="1:41">
      <c r="A168" t="s">
        <v>618</v>
      </c>
      <c r="B168" t="s">
        <v>577</v>
      </c>
      <c r="C168" t="s">
        <v>619</v>
      </c>
      <c r="D168">
        <v>1665</v>
      </c>
      <c r="E168">
        <v>588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 t="s">
        <v>620</v>
      </c>
      <c r="M168" t="s">
        <v>621</v>
      </c>
      <c r="N168" t="s">
        <v>581</v>
      </c>
      <c r="O168">
        <v>0</v>
      </c>
      <c r="P168" t="s">
        <v>271</v>
      </c>
      <c r="Q168" t="s">
        <v>134</v>
      </c>
      <c r="R168">
        <v>10695</v>
      </c>
      <c r="S168" t="s">
        <v>621</v>
      </c>
      <c r="U168" t="s">
        <v>272</v>
      </c>
      <c r="V168" t="s">
        <v>273</v>
      </c>
      <c r="W168">
        <v>12277912</v>
      </c>
      <c r="X168" t="s">
        <v>622</v>
      </c>
      <c r="Y168">
        <f t="shared" si="36"/>
        <v>0.97902</v>
      </c>
      <c r="Z168">
        <f t="shared" si="37"/>
        <v>4.5060000000000002</v>
      </c>
      <c r="AA168">
        <f t="shared" si="38"/>
        <v>4.5060000000000002</v>
      </c>
      <c r="AB168" s="2">
        <f t="shared" si="39"/>
        <v>15</v>
      </c>
      <c r="AC168" s="2">
        <f t="shared" si="40"/>
        <v>12</v>
      </c>
      <c r="AD168" s="2">
        <f t="shared" si="41"/>
        <v>0</v>
      </c>
      <c r="AE168" s="2">
        <f t="shared" si="42"/>
        <v>0</v>
      </c>
      <c r="AF168" s="2">
        <f t="shared" si="43"/>
        <v>9</v>
      </c>
      <c r="AG168" s="2">
        <f t="shared" si="44"/>
        <v>0</v>
      </c>
      <c r="AH168" s="2">
        <f t="shared" si="45"/>
        <v>0</v>
      </c>
      <c r="AI168" s="1">
        <f t="shared" si="46"/>
        <v>162.21600000000001</v>
      </c>
      <c r="AJ168" s="1">
        <f t="shared" si="47"/>
        <v>270.36</v>
      </c>
      <c r="AK168" s="1" t="str">
        <f t="shared" si="48"/>
        <v/>
      </c>
      <c r="AL168" s="1" t="str">
        <f t="shared" si="49"/>
        <v/>
      </c>
      <c r="AM168" s="1">
        <f t="shared" si="34"/>
        <v>130</v>
      </c>
      <c r="AN168" s="5">
        <f t="shared" si="35"/>
        <v>0</v>
      </c>
      <c r="AO168" s="1" t="str">
        <f t="shared" si="50"/>
        <v/>
      </c>
    </row>
    <row r="169" spans="1:41">
      <c r="A169" t="s">
        <v>623</v>
      </c>
      <c r="B169" t="s">
        <v>577</v>
      </c>
      <c r="C169" t="s">
        <v>624</v>
      </c>
      <c r="D169">
        <v>572</v>
      </c>
      <c r="E169">
        <v>590</v>
      </c>
      <c r="F169">
        <v>0</v>
      </c>
      <c r="G169">
        <v>1</v>
      </c>
      <c r="H169">
        <v>1</v>
      </c>
      <c r="I169">
        <v>1</v>
      </c>
      <c r="J169">
        <v>1</v>
      </c>
      <c r="K169">
        <v>1</v>
      </c>
      <c r="L169" t="s">
        <v>625</v>
      </c>
      <c r="M169" t="s">
        <v>626</v>
      </c>
      <c r="N169" t="s">
        <v>581</v>
      </c>
      <c r="O169">
        <v>0</v>
      </c>
      <c r="P169" t="s">
        <v>271</v>
      </c>
      <c r="Q169" t="s">
        <v>134</v>
      </c>
      <c r="R169">
        <v>10695</v>
      </c>
      <c r="S169" t="s">
        <v>626</v>
      </c>
      <c r="U169" t="s">
        <v>272</v>
      </c>
      <c r="V169" t="s">
        <v>273</v>
      </c>
      <c r="W169">
        <v>12277915</v>
      </c>
      <c r="X169" t="s">
        <v>622</v>
      </c>
      <c r="Y169">
        <f t="shared" si="36"/>
        <v>0.33748</v>
      </c>
      <c r="Z169">
        <f t="shared" si="37"/>
        <v>2.3239999999999998</v>
      </c>
      <c r="AA169">
        <f t="shared" si="38"/>
        <v>2.3239999999999998</v>
      </c>
      <c r="AB169" s="2">
        <f t="shared" si="39"/>
        <v>15</v>
      </c>
      <c r="AC169" s="2">
        <f t="shared" si="40"/>
        <v>12</v>
      </c>
      <c r="AD169" s="2">
        <f t="shared" si="41"/>
        <v>0</v>
      </c>
      <c r="AE169" s="2">
        <f t="shared" si="42"/>
        <v>0</v>
      </c>
      <c r="AF169" s="2">
        <f t="shared" si="43"/>
        <v>9</v>
      </c>
      <c r="AG169" s="2">
        <f t="shared" si="44"/>
        <v>0</v>
      </c>
      <c r="AH169" s="2">
        <f t="shared" si="45"/>
        <v>0</v>
      </c>
      <c r="AI169" s="1">
        <f t="shared" si="46"/>
        <v>83.663999999999987</v>
      </c>
      <c r="AJ169" s="1">
        <f t="shared" si="47"/>
        <v>139.44</v>
      </c>
      <c r="AK169" s="1" t="str">
        <f t="shared" si="48"/>
        <v/>
      </c>
      <c r="AL169" s="1" t="str">
        <f t="shared" si="49"/>
        <v/>
      </c>
      <c r="AM169" s="1">
        <f t="shared" si="34"/>
        <v>130</v>
      </c>
      <c r="AN169" s="5">
        <f t="shared" si="35"/>
        <v>0</v>
      </c>
      <c r="AO169" s="1" t="str">
        <f t="shared" si="50"/>
        <v/>
      </c>
    </row>
    <row r="170" spans="1:41">
      <c r="A170" t="s">
        <v>627</v>
      </c>
      <c r="B170" t="s">
        <v>577</v>
      </c>
      <c r="C170" t="s">
        <v>628</v>
      </c>
      <c r="D170">
        <v>572</v>
      </c>
      <c r="E170">
        <v>590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1</v>
      </c>
      <c r="L170" t="s">
        <v>629</v>
      </c>
      <c r="M170" t="s">
        <v>630</v>
      </c>
      <c r="N170" t="s">
        <v>581</v>
      </c>
      <c r="O170">
        <v>0</v>
      </c>
      <c r="P170" t="s">
        <v>271</v>
      </c>
      <c r="Q170" t="s">
        <v>134</v>
      </c>
      <c r="R170">
        <v>10695</v>
      </c>
      <c r="S170" t="s">
        <v>630</v>
      </c>
      <c r="U170" t="s">
        <v>272</v>
      </c>
      <c r="V170" t="s">
        <v>273</v>
      </c>
      <c r="W170">
        <v>12277920</v>
      </c>
      <c r="X170" t="s">
        <v>622</v>
      </c>
      <c r="Y170">
        <f t="shared" si="36"/>
        <v>0.33748</v>
      </c>
      <c r="Z170">
        <f t="shared" si="37"/>
        <v>2.3239999999999998</v>
      </c>
      <c r="AA170">
        <f t="shared" si="38"/>
        <v>2.3239999999999998</v>
      </c>
      <c r="AB170" s="2">
        <f t="shared" si="39"/>
        <v>15</v>
      </c>
      <c r="AC170" s="2">
        <f t="shared" si="40"/>
        <v>12</v>
      </c>
      <c r="AD170" s="2">
        <f t="shared" si="41"/>
        <v>0</v>
      </c>
      <c r="AE170" s="2">
        <f t="shared" si="42"/>
        <v>0</v>
      </c>
      <c r="AF170" s="2">
        <f t="shared" si="43"/>
        <v>9</v>
      </c>
      <c r="AG170" s="2">
        <f t="shared" si="44"/>
        <v>0</v>
      </c>
      <c r="AH170" s="2">
        <f t="shared" si="45"/>
        <v>0</v>
      </c>
      <c r="AI170" s="1">
        <f t="shared" si="46"/>
        <v>83.663999999999987</v>
      </c>
      <c r="AJ170" s="1">
        <f t="shared" si="47"/>
        <v>139.44</v>
      </c>
      <c r="AK170" s="1" t="str">
        <f t="shared" si="48"/>
        <v/>
      </c>
      <c r="AL170" s="1" t="str">
        <f t="shared" si="49"/>
        <v/>
      </c>
      <c r="AM170" s="1">
        <f t="shared" si="34"/>
        <v>130</v>
      </c>
      <c r="AN170" s="5">
        <f t="shared" si="35"/>
        <v>0</v>
      </c>
      <c r="AO170" s="1" t="str">
        <f t="shared" si="50"/>
        <v/>
      </c>
    </row>
    <row r="171" spans="1:41">
      <c r="A171" t="s">
        <v>631</v>
      </c>
      <c r="B171" t="s">
        <v>577</v>
      </c>
      <c r="C171" t="s">
        <v>632</v>
      </c>
      <c r="D171">
        <v>572</v>
      </c>
      <c r="E171">
        <v>573</v>
      </c>
      <c r="F171">
        <v>0</v>
      </c>
      <c r="G171">
        <v>1</v>
      </c>
      <c r="H171">
        <v>1</v>
      </c>
      <c r="I171">
        <v>1</v>
      </c>
      <c r="J171">
        <v>1</v>
      </c>
      <c r="L171" t="s">
        <v>633</v>
      </c>
      <c r="M171" t="s">
        <v>634</v>
      </c>
      <c r="N171" t="s">
        <v>581</v>
      </c>
      <c r="O171">
        <v>0</v>
      </c>
      <c r="P171" t="s">
        <v>271</v>
      </c>
      <c r="Q171" t="s">
        <v>134</v>
      </c>
      <c r="R171">
        <v>10695</v>
      </c>
      <c r="S171" t="s">
        <v>634</v>
      </c>
      <c r="U171" t="s">
        <v>272</v>
      </c>
      <c r="V171" t="s">
        <v>273</v>
      </c>
      <c r="W171">
        <v>12277923</v>
      </c>
      <c r="X171" t="s">
        <v>622</v>
      </c>
      <c r="Y171">
        <f t="shared" si="36"/>
        <v>0.32775599999999999</v>
      </c>
      <c r="Z171">
        <f t="shared" si="37"/>
        <v>2.29</v>
      </c>
      <c r="AA171">
        <f t="shared" si="38"/>
        <v>1.7170000000000001</v>
      </c>
      <c r="AB171" s="2">
        <f t="shared" si="39"/>
        <v>15</v>
      </c>
      <c r="AC171" s="2">
        <f t="shared" si="40"/>
        <v>12</v>
      </c>
      <c r="AD171" s="2">
        <f t="shared" si="41"/>
        <v>0</v>
      </c>
      <c r="AE171" s="2">
        <f t="shared" si="42"/>
        <v>0</v>
      </c>
      <c r="AF171" s="2">
        <f t="shared" si="43"/>
        <v>9</v>
      </c>
      <c r="AG171" s="2">
        <f t="shared" si="44"/>
        <v>0</v>
      </c>
      <c r="AH171" s="2">
        <f t="shared" si="45"/>
        <v>0</v>
      </c>
      <c r="AI171" s="1">
        <f t="shared" si="46"/>
        <v>82.44</v>
      </c>
      <c r="AJ171" s="1">
        <f t="shared" si="47"/>
        <v>103.02000000000001</v>
      </c>
      <c r="AK171" s="1" t="str">
        <f t="shared" si="48"/>
        <v/>
      </c>
      <c r="AL171" s="1" t="str">
        <f t="shared" si="49"/>
        <v/>
      </c>
      <c r="AM171" s="1">
        <f t="shared" si="34"/>
        <v>130</v>
      </c>
      <c r="AN171" s="5">
        <f t="shared" si="35"/>
        <v>0</v>
      </c>
      <c r="AO171" s="1" t="str">
        <f t="shared" si="50"/>
        <v/>
      </c>
    </row>
    <row r="172" spans="1:41">
      <c r="A172" t="s">
        <v>635</v>
      </c>
      <c r="B172" t="s">
        <v>577</v>
      </c>
      <c r="C172" t="s">
        <v>636</v>
      </c>
      <c r="D172">
        <v>572</v>
      </c>
      <c r="E172">
        <v>573</v>
      </c>
      <c r="F172">
        <v>0</v>
      </c>
      <c r="G172">
        <v>1</v>
      </c>
      <c r="H172">
        <v>1</v>
      </c>
      <c r="I172">
        <v>1</v>
      </c>
      <c r="K172">
        <v>1</v>
      </c>
      <c r="L172" t="s">
        <v>637</v>
      </c>
      <c r="M172" t="s">
        <v>638</v>
      </c>
      <c r="N172" t="s">
        <v>581</v>
      </c>
      <c r="O172">
        <v>0</v>
      </c>
      <c r="P172" t="s">
        <v>271</v>
      </c>
      <c r="Q172" t="s">
        <v>134</v>
      </c>
      <c r="R172">
        <v>10695</v>
      </c>
      <c r="S172" t="s">
        <v>638</v>
      </c>
      <c r="U172" t="s">
        <v>272</v>
      </c>
      <c r="V172" t="s">
        <v>273</v>
      </c>
      <c r="W172">
        <v>12277926</v>
      </c>
      <c r="X172" t="s">
        <v>622</v>
      </c>
      <c r="Y172">
        <f t="shared" si="36"/>
        <v>0.32775599999999999</v>
      </c>
      <c r="Z172">
        <f t="shared" si="37"/>
        <v>2.29</v>
      </c>
      <c r="AA172">
        <f t="shared" si="38"/>
        <v>1.7170000000000001</v>
      </c>
      <c r="AB172" s="2">
        <f t="shared" si="39"/>
        <v>15</v>
      </c>
      <c r="AC172" s="2">
        <f t="shared" si="40"/>
        <v>12</v>
      </c>
      <c r="AD172" s="2">
        <f t="shared" si="41"/>
        <v>0</v>
      </c>
      <c r="AE172" s="2">
        <f t="shared" si="42"/>
        <v>0</v>
      </c>
      <c r="AF172" s="2">
        <f t="shared" si="43"/>
        <v>9</v>
      </c>
      <c r="AG172" s="2">
        <f t="shared" si="44"/>
        <v>0</v>
      </c>
      <c r="AH172" s="2">
        <f t="shared" si="45"/>
        <v>0</v>
      </c>
      <c r="AI172" s="1">
        <f t="shared" si="46"/>
        <v>82.44</v>
      </c>
      <c r="AJ172" s="1">
        <f t="shared" si="47"/>
        <v>103.02000000000001</v>
      </c>
      <c r="AK172" s="1" t="str">
        <f t="shared" si="48"/>
        <v/>
      </c>
      <c r="AL172" s="1" t="str">
        <f t="shared" si="49"/>
        <v/>
      </c>
      <c r="AM172" s="1">
        <f t="shared" si="34"/>
        <v>130</v>
      </c>
      <c r="AN172" s="5">
        <f t="shared" si="35"/>
        <v>0</v>
      </c>
      <c r="AO172" s="1" t="str">
        <f t="shared" si="50"/>
        <v/>
      </c>
    </row>
    <row r="173" spans="1:41">
      <c r="A173" t="s">
        <v>639</v>
      </c>
      <c r="B173" t="s">
        <v>577</v>
      </c>
      <c r="C173" t="s">
        <v>640</v>
      </c>
      <c r="D173">
        <v>1665</v>
      </c>
      <c r="E173">
        <v>606</v>
      </c>
      <c r="F173">
        <v>0</v>
      </c>
      <c r="G173">
        <v>1</v>
      </c>
      <c r="H173">
        <v>1</v>
      </c>
      <c r="I173">
        <v>1</v>
      </c>
      <c r="J173">
        <v>1</v>
      </c>
      <c r="K173">
        <v>1</v>
      </c>
      <c r="L173" t="s">
        <v>641</v>
      </c>
      <c r="M173" t="s">
        <v>642</v>
      </c>
      <c r="N173" t="s">
        <v>581</v>
      </c>
      <c r="O173">
        <v>0</v>
      </c>
      <c r="P173" t="s">
        <v>271</v>
      </c>
      <c r="Q173" t="s">
        <v>134</v>
      </c>
      <c r="R173">
        <v>10695</v>
      </c>
      <c r="S173" t="s">
        <v>642</v>
      </c>
      <c r="U173" t="s">
        <v>272</v>
      </c>
      <c r="V173" t="s">
        <v>273</v>
      </c>
      <c r="W173">
        <v>12277929</v>
      </c>
      <c r="X173" t="s">
        <v>622</v>
      </c>
      <c r="Y173">
        <f t="shared" si="36"/>
        <v>1.0089900000000001</v>
      </c>
      <c r="Z173">
        <f t="shared" si="37"/>
        <v>4.5419999999999998</v>
      </c>
      <c r="AA173">
        <f t="shared" si="38"/>
        <v>4.5419999999999998</v>
      </c>
      <c r="AB173" s="2">
        <f t="shared" si="39"/>
        <v>15</v>
      </c>
      <c r="AC173" s="2">
        <f t="shared" si="40"/>
        <v>12</v>
      </c>
      <c r="AD173" s="2">
        <f t="shared" si="41"/>
        <v>0</v>
      </c>
      <c r="AE173" s="2">
        <f t="shared" si="42"/>
        <v>0</v>
      </c>
      <c r="AF173" s="2">
        <f t="shared" si="43"/>
        <v>9</v>
      </c>
      <c r="AG173" s="2">
        <f t="shared" si="44"/>
        <v>0</v>
      </c>
      <c r="AH173" s="2">
        <f t="shared" si="45"/>
        <v>0</v>
      </c>
      <c r="AI173" s="1">
        <f t="shared" si="46"/>
        <v>163.512</v>
      </c>
      <c r="AJ173" s="1">
        <f t="shared" si="47"/>
        <v>272.52</v>
      </c>
      <c r="AK173" s="1" t="str">
        <f t="shared" si="48"/>
        <v/>
      </c>
      <c r="AL173" s="1" t="str">
        <f t="shared" si="49"/>
        <v/>
      </c>
      <c r="AM173" s="1">
        <f t="shared" si="34"/>
        <v>130</v>
      </c>
      <c r="AN173" s="5">
        <f t="shared" si="35"/>
        <v>0</v>
      </c>
      <c r="AO173" s="1" t="str">
        <f t="shared" si="50"/>
        <v/>
      </c>
    </row>
    <row r="174" spans="1:41">
      <c r="A174" t="s">
        <v>643</v>
      </c>
      <c r="B174" t="s">
        <v>577</v>
      </c>
      <c r="C174" t="s">
        <v>644</v>
      </c>
      <c r="D174">
        <v>676</v>
      </c>
      <c r="E174">
        <v>572</v>
      </c>
      <c r="F174">
        <v>0</v>
      </c>
      <c r="G174">
        <v>2</v>
      </c>
      <c r="I174">
        <v>1</v>
      </c>
      <c r="L174" t="s">
        <v>643</v>
      </c>
      <c r="M174" t="s">
        <v>609</v>
      </c>
      <c r="N174" t="s">
        <v>581</v>
      </c>
      <c r="O174">
        <v>0</v>
      </c>
      <c r="P174" t="s">
        <v>271</v>
      </c>
      <c r="Q174" t="s">
        <v>134</v>
      </c>
      <c r="R174">
        <v>10695</v>
      </c>
      <c r="S174" t="s">
        <v>609</v>
      </c>
      <c r="U174" t="s">
        <v>272</v>
      </c>
      <c r="V174" t="s">
        <v>273</v>
      </c>
      <c r="W174">
        <v>12277938</v>
      </c>
      <c r="X174" t="s">
        <v>622</v>
      </c>
      <c r="Y174">
        <f t="shared" si="36"/>
        <v>0.77334400000000003</v>
      </c>
      <c r="Z174">
        <f t="shared" si="37"/>
        <v>4.992</v>
      </c>
      <c r="AA174">
        <f t="shared" si="38"/>
        <v>1.3520000000000001</v>
      </c>
      <c r="AB174" s="2">
        <f t="shared" si="39"/>
        <v>12</v>
      </c>
      <c r="AC174" s="2">
        <f t="shared" si="40"/>
        <v>9</v>
      </c>
      <c r="AD174" s="2">
        <f t="shared" si="41"/>
        <v>0</v>
      </c>
      <c r="AE174" s="2">
        <f t="shared" si="42"/>
        <v>0</v>
      </c>
      <c r="AF174" s="2">
        <f t="shared" si="43"/>
        <v>0</v>
      </c>
      <c r="AG174" s="2">
        <f t="shared" si="44"/>
        <v>0</v>
      </c>
      <c r="AH174" s="2">
        <f t="shared" si="45"/>
        <v>0</v>
      </c>
      <c r="AI174" s="1">
        <f t="shared" si="46"/>
        <v>179.71199999999999</v>
      </c>
      <c r="AJ174" s="1">
        <f t="shared" si="47"/>
        <v>81.12</v>
      </c>
      <c r="AK174" s="1" t="str">
        <f t="shared" si="48"/>
        <v/>
      </c>
      <c r="AL174" s="1" t="str">
        <f t="shared" si="49"/>
        <v/>
      </c>
      <c r="AM174" s="1" t="str">
        <f t="shared" si="34"/>
        <v/>
      </c>
      <c r="AN174" s="5">
        <f t="shared" si="35"/>
        <v>0</v>
      </c>
      <c r="AO174" s="1" t="str">
        <f t="shared" si="50"/>
        <v/>
      </c>
    </row>
    <row r="175" spans="1:41">
      <c r="A175" t="s">
        <v>645</v>
      </c>
      <c r="B175" t="s">
        <v>577</v>
      </c>
      <c r="C175" t="s">
        <v>646</v>
      </c>
      <c r="D175">
        <v>580</v>
      </c>
      <c r="E175">
        <v>347</v>
      </c>
      <c r="F175">
        <v>0</v>
      </c>
      <c r="G175">
        <v>1</v>
      </c>
      <c r="H175">
        <v>1</v>
      </c>
      <c r="I175">
        <v>1</v>
      </c>
      <c r="J175">
        <v>1</v>
      </c>
      <c r="K175">
        <v>1</v>
      </c>
      <c r="L175" t="s">
        <v>647</v>
      </c>
      <c r="M175" t="s">
        <v>648</v>
      </c>
      <c r="N175" t="s">
        <v>581</v>
      </c>
      <c r="O175">
        <v>0</v>
      </c>
      <c r="P175" t="s">
        <v>271</v>
      </c>
      <c r="Q175" t="s">
        <v>134</v>
      </c>
      <c r="R175">
        <v>10695</v>
      </c>
      <c r="S175" t="s">
        <v>648</v>
      </c>
      <c r="U175" t="s">
        <v>272</v>
      </c>
      <c r="V175" t="s">
        <v>273</v>
      </c>
      <c r="W175">
        <v>12277932</v>
      </c>
      <c r="X175" t="s">
        <v>649</v>
      </c>
      <c r="Y175">
        <f t="shared" si="36"/>
        <v>0.20125999999999999</v>
      </c>
      <c r="Z175">
        <f t="shared" si="37"/>
        <v>1.8540000000000001</v>
      </c>
      <c r="AA175">
        <f t="shared" si="38"/>
        <v>1.8540000000000001</v>
      </c>
      <c r="AB175" s="2">
        <f t="shared" si="39"/>
        <v>18</v>
      </c>
      <c r="AC175" s="2">
        <f t="shared" si="40"/>
        <v>15</v>
      </c>
      <c r="AD175" s="2">
        <f t="shared" si="41"/>
        <v>0</v>
      </c>
      <c r="AE175" s="2">
        <f t="shared" si="42"/>
        <v>0</v>
      </c>
      <c r="AF175" s="2">
        <f t="shared" si="43"/>
        <v>12</v>
      </c>
      <c r="AG175" s="2">
        <f t="shared" si="44"/>
        <v>0</v>
      </c>
      <c r="AH175" s="2">
        <f t="shared" si="45"/>
        <v>0</v>
      </c>
      <c r="AI175" s="1">
        <f t="shared" si="46"/>
        <v>66.744</v>
      </c>
      <c r="AJ175" s="1">
        <f t="shared" si="47"/>
        <v>111.24000000000001</v>
      </c>
      <c r="AK175" s="1" t="str">
        <f t="shared" si="48"/>
        <v/>
      </c>
      <c r="AL175" s="1" t="str">
        <f t="shared" si="49"/>
        <v/>
      </c>
      <c r="AM175" s="1">
        <f t="shared" si="34"/>
        <v>130</v>
      </c>
      <c r="AN175" s="5">
        <f t="shared" si="35"/>
        <v>0</v>
      </c>
      <c r="AO175" s="1" t="str">
        <f t="shared" si="50"/>
        <v/>
      </c>
    </row>
    <row r="176" spans="1:41">
      <c r="A176" t="s">
        <v>650</v>
      </c>
      <c r="B176" t="s">
        <v>577</v>
      </c>
      <c r="C176" t="s">
        <v>651</v>
      </c>
      <c r="D176">
        <v>580</v>
      </c>
      <c r="E176">
        <v>347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1</v>
      </c>
      <c r="L176" t="s">
        <v>652</v>
      </c>
      <c r="M176" t="s">
        <v>653</v>
      </c>
      <c r="N176" t="s">
        <v>581</v>
      </c>
      <c r="O176">
        <v>0</v>
      </c>
      <c r="P176" t="s">
        <v>271</v>
      </c>
      <c r="Q176" t="s">
        <v>134</v>
      </c>
      <c r="R176">
        <v>10695</v>
      </c>
      <c r="S176" t="s">
        <v>653</v>
      </c>
      <c r="U176" t="s">
        <v>272</v>
      </c>
      <c r="V176" t="s">
        <v>273</v>
      </c>
      <c r="W176">
        <v>12277935</v>
      </c>
      <c r="X176" t="s">
        <v>649</v>
      </c>
      <c r="Y176">
        <f t="shared" si="36"/>
        <v>0.20125999999999999</v>
      </c>
      <c r="Z176">
        <f t="shared" si="37"/>
        <v>1.8540000000000001</v>
      </c>
      <c r="AA176">
        <f t="shared" si="38"/>
        <v>1.8540000000000001</v>
      </c>
      <c r="AB176" s="2">
        <f t="shared" si="39"/>
        <v>15</v>
      </c>
      <c r="AC176" s="2">
        <f t="shared" si="40"/>
        <v>12</v>
      </c>
      <c r="AD176" s="2">
        <f t="shared" si="41"/>
        <v>0</v>
      </c>
      <c r="AE176" s="2">
        <f t="shared" si="42"/>
        <v>0</v>
      </c>
      <c r="AF176" s="2">
        <f t="shared" si="43"/>
        <v>9</v>
      </c>
      <c r="AG176" s="2">
        <f t="shared" si="44"/>
        <v>0</v>
      </c>
      <c r="AH176" s="2">
        <f t="shared" si="45"/>
        <v>0</v>
      </c>
      <c r="AI176" s="1">
        <f t="shared" si="46"/>
        <v>66.744</v>
      </c>
      <c r="AJ176" s="1">
        <f t="shared" si="47"/>
        <v>111.24000000000001</v>
      </c>
      <c r="AK176" s="1" t="str">
        <f t="shared" si="48"/>
        <v/>
      </c>
      <c r="AL176" s="1" t="str">
        <f t="shared" si="49"/>
        <v/>
      </c>
      <c r="AM176" s="1">
        <f t="shared" si="34"/>
        <v>130</v>
      </c>
      <c r="AN176" s="5">
        <f t="shared" si="35"/>
        <v>0</v>
      </c>
      <c r="AO176" s="1" t="str">
        <f t="shared" si="50"/>
        <v/>
      </c>
    </row>
    <row r="177" spans="1:41">
      <c r="A177" t="s">
        <v>654</v>
      </c>
      <c r="B177" t="s">
        <v>577</v>
      </c>
      <c r="C177" t="s">
        <v>655</v>
      </c>
      <c r="D177">
        <v>1635</v>
      </c>
      <c r="E177">
        <v>574</v>
      </c>
      <c r="F177">
        <v>0</v>
      </c>
      <c r="G177">
        <v>1</v>
      </c>
      <c r="L177" t="s">
        <v>656</v>
      </c>
      <c r="M177" t="s">
        <v>657</v>
      </c>
      <c r="N177" t="s">
        <v>658</v>
      </c>
      <c r="O177">
        <v>0</v>
      </c>
      <c r="P177" t="s">
        <v>271</v>
      </c>
      <c r="Q177" t="s">
        <v>134</v>
      </c>
      <c r="R177">
        <v>10695</v>
      </c>
      <c r="S177" t="s">
        <v>657</v>
      </c>
      <c r="U177" t="s">
        <v>272</v>
      </c>
      <c r="V177" t="s">
        <v>273</v>
      </c>
      <c r="W177">
        <v>12277918</v>
      </c>
      <c r="X177" t="s">
        <v>622</v>
      </c>
      <c r="Y177">
        <f t="shared" si="36"/>
        <v>0.93849000000000005</v>
      </c>
      <c r="Z177">
        <f t="shared" si="37"/>
        <v>4.4180000000000001</v>
      </c>
      <c r="AA177">
        <f t="shared" si="38"/>
        <v>0</v>
      </c>
      <c r="AB177" s="2">
        <f t="shared" si="39"/>
        <v>15</v>
      </c>
      <c r="AC177" s="2">
        <f t="shared" si="40"/>
        <v>12</v>
      </c>
      <c r="AD177" s="2">
        <f t="shared" si="41"/>
        <v>0</v>
      </c>
      <c r="AE177" s="2">
        <f t="shared" si="42"/>
        <v>0</v>
      </c>
      <c r="AF177" s="2">
        <f t="shared" si="43"/>
        <v>9</v>
      </c>
      <c r="AG177" s="2">
        <f t="shared" si="44"/>
        <v>0</v>
      </c>
      <c r="AH177" s="2">
        <f t="shared" si="45"/>
        <v>0</v>
      </c>
      <c r="AI177" s="1">
        <f t="shared" si="46"/>
        <v>159.048</v>
      </c>
      <c r="AJ177" s="1">
        <f t="shared" si="47"/>
        <v>0</v>
      </c>
      <c r="AK177" s="1" t="str">
        <f t="shared" si="48"/>
        <v/>
      </c>
      <c r="AL177" s="1" t="str">
        <f t="shared" si="49"/>
        <v/>
      </c>
      <c r="AM177" s="1">
        <f t="shared" si="34"/>
        <v>130</v>
      </c>
      <c r="AN177" s="5">
        <f t="shared" si="35"/>
        <v>0</v>
      </c>
      <c r="AO177" s="1" t="str">
        <f t="shared" si="50"/>
        <v/>
      </c>
    </row>
    <row r="178" spans="1:41">
      <c r="A178" t="s">
        <v>659</v>
      </c>
      <c r="B178" t="s">
        <v>660</v>
      </c>
      <c r="C178" t="s">
        <v>661</v>
      </c>
      <c r="D178">
        <v>1198</v>
      </c>
      <c r="E178">
        <v>748</v>
      </c>
      <c r="F178">
        <v>0</v>
      </c>
      <c r="G178">
        <v>10</v>
      </c>
      <c r="H178">
        <v>1</v>
      </c>
      <c r="I178">
        <v>1</v>
      </c>
      <c r="J178">
        <v>1</v>
      </c>
      <c r="K178">
        <v>1</v>
      </c>
      <c r="L178" t="s">
        <v>662</v>
      </c>
      <c r="M178" t="s">
        <v>663</v>
      </c>
      <c r="N178" t="s">
        <v>664</v>
      </c>
      <c r="O178">
        <v>0</v>
      </c>
      <c r="P178" t="s">
        <v>325</v>
      </c>
      <c r="Q178" t="s">
        <v>326</v>
      </c>
      <c r="R178">
        <v>10568</v>
      </c>
      <c r="S178" t="s">
        <v>663</v>
      </c>
      <c r="U178" t="s">
        <v>83</v>
      </c>
      <c r="V178" t="s">
        <v>327</v>
      </c>
      <c r="W178">
        <v>12280349</v>
      </c>
      <c r="X178" t="s">
        <v>665</v>
      </c>
      <c r="Y178">
        <f t="shared" si="36"/>
        <v>8.9610400000000006</v>
      </c>
      <c r="Z178">
        <f t="shared" si="37"/>
        <v>38.92</v>
      </c>
      <c r="AA178">
        <f t="shared" si="38"/>
        <v>38.92</v>
      </c>
      <c r="AB178" s="2">
        <f t="shared" si="39"/>
        <v>19</v>
      </c>
      <c r="AC178" s="2">
        <f t="shared" si="40"/>
        <v>10</v>
      </c>
      <c r="AD178" s="2">
        <f t="shared" si="41"/>
        <v>13</v>
      </c>
      <c r="AE178" s="2">
        <f t="shared" si="42"/>
        <v>16</v>
      </c>
      <c r="AF178" s="2">
        <f t="shared" si="43"/>
        <v>0</v>
      </c>
      <c r="AG178" s="2">
        <f t="shared" si="44"/>
        <v>0</v>
      </c>
      <c r="AH178" s="2">
        <f t="shared" si="45"/>
        <v>0</v>
      </c>
      <c r="AI178" s="1">
        <f t="shared" si="46"/>
        <v>1401.1200000000001</v>
      </c>
      <c r="AJ178" s="1">
        <f t="shared" si="47"/>
        <v>2335.2000000000003</v>
      </c>
      <c r="AK178" s="1">
        <f t="shared" si="48"/>
        <v>2200</v>
      </c>
      <c r="AL178" s="1">
        <f t="shared" si="49"/>
        <v>2400</v>
      </c>
      <c r="AM178" s="3" t="str">
        <f t="shared" si="34"/>
        <v/>
      </c>
      <c r="AN178" s="5">
        <f t="shared" si="35"/>
        <v>0</v>
      </c>
      <c r="AO178" s="1" t="str">
        <f t="shared" si="50"/>
        <v/>
      </c>
    </row>
    <row r="179" spans="1:41">
      <c r="A179" t="s">
        <v>666</v>
      </c>
      <c r="B179" t="s">
        <v>667</v>
      </c>
      <c r="C179" t="s">
        <v>668</v>
      </c>
      <c r="D179">
        <v>960</v>
      </c>
      <c r="E179">
        <v>108</v>
      </c>
      <c r="F179">
        <v>0</v>
      </c>
      <c r="G179">
        <v>1</v>
      </c>
      <c r="H179">
        <v>1</v>
      </c>
      <c r="I179">
        <v>1</v>
      </c>
      <c r="L179" t="s">
        <v>669</v>
      </c>
      <c r="M179" t="s">
        <v>670</v>
      </c>
      <c r="N179" t="s">
        <v>671</v>
      </c>
      <c r="O179">
        <v>0</v>
      </c>
      <c r="P179" t="s">
        <v>289</v>
      </c>
      <c r="Q179" t="s">
        <v>134</v>
      </c>
      <c r="R179">
        <v>10695</v>
      </c>
      <c r="S179" t="s">
        <v>670</v>
      </c>
      <c r="U179" t="s">
        <v>290</v>
      </c>
      <c r="V179" t="s">
        <v>291</v>
      </c>
      <c r="W179">
        <v>12278153</v>
      </c>
      <c r="X179" t="s">
        <v>292</v>
      </c>
      <c r="Y179">
        <f t="shared" si="36"/>
        <v>0.10367999999999999</v>
      </c>
      <c r="Z179">
        <f t="shared" si="37"/>
        <v>2.1360000000000001</v>
      </c>
      <c r="AA179">
        <f t="shared" si="38"/>
        <v>1.92</v>
      </c>
      <c r="AB179" s="2">
        <f t="shared" si="39"/>
        <v>12</v>
      </c>
      <c r="AC179" s="2">
        <f t="shared" si="40"/>
        <v>9</v>
      </c>
      <c r="AD179" s="2">
        <f t="shared" si="41"/>
        <v>0</v>
      </c>
      <c r="AE179" s="2">
        <f t="shared" si="42"/>
        <v>0</v>
      </c>
      <c r="AF179" s="2">
        <f t="shared" si="43"/>
        <v>0</v>
      </c>
      <c r="AG179" s="2">
        <f t="shared" si="44"/>
        <v>0</v>
      </c>
      <c r="AH179" s="2">
        <f t="shared" si="45"/>
        <v>0</v>
      </c>
      <c r="AI179" s="1">
        <f t="shared" si="46"/>
        <v>76.896000000000001</v>
      </c>
      <c r="AJ179" s="1">
        <f t="shared" si="47"/>
        <v>115.19999999999999</v>
      </c>
      <c r="AK179" s="1" t="str">
        <f t="shared" si="48"/>
        <v/>
      </c>
      <c r="AL179" s="1" t="str">
        <f t="shared" si="49"/>
        <v/>
      </c>
      <c r="AM179" s="1" t="str">
        <f t="shared" si="34"/>
        <v/>
      </c>
      <c r="AN179" s="5">
        <f t="shared" si="35"/>
        <v>0</v>
      </c>
      <c r="AO179" s="1" t="str">
        <f t="shared" si="50"/>
        <v/>
      </c>
    </row>
    <row r="180" spans="1:41">
      <c r="A180" t="s">
        <v>672</v>
      </c>
      <c r="B180" t="s">
        <v>667</v>
      </c>
      <c r="C180" t="s">
        <v>673</v>
      </c>
      <c r="D180">
        <v>2128</v>
      </c>
      <c r="E180">
        <v>108</v>
      </c>
      <c r="F180">
        <v>0</v>
      </c>
      <c r="G180">
        <v>1</v>
      </c>
      <c r="H180">
        <v>1</v>
      </c>
      <c r="I180">
        <v>1</v>
      </c>
      <c r="L180" t="s">
        <v>674</v>
      </c>
      <c r="M180" t="s">
        <v>675</v>
      </c>
      <c r="N180" t="s">
        <v>671</v>
      </c>
      <c r="O180">
        <v>0</v>
      </c>
      <c r="P180" t="s">
        <v>289</v>
      </c>
      <c r="Q180" t="s">
        <v>134</v>
      </c>
      <c r="R180">
        <v>10695</v>
      </c>
      <c r="S180" t="s">
        <v>675</v>
      </c>
      <c r="U180" t="s">
        <v>290</v>
      </c>
      <c r="V180" t="s">
        <v>291</v>
      </c>
      <c r="W180">
        <v>12278152</v>
      </c>
      <c r="X180" t="s">
        <v>292</v>
      </c>
      <c r="Y180">
        <f t="shared" si="36"/>
        <v>0.229824</v>
      </c>
      <c r="Z180">
        <f t="shared" si="37"/>
        <v>4.4720000000000004</v>
      </c>
      <c r="AA180">
        <f t="shared" si="38"/>
        <v>4.2560000000000002</v>
      </c>
      <c r="AB180" s="2">
        <f t="shared" si="39"/>
        <v>12</v>
      </c>
      <c r="AC180" s="2">
        <f t="shared" si="40"/>
        <v>9</v>
      </c>
      <c r="AD180" s="2">
        <f t="shared" si="41"/>
        <v>0</v>
      </c>
      <c r="AE180" s="2">
        <f t="shared" si="42"/>
        <v>0</v>
      </c>
      <c r="AF180" s="2">
        <f t="shared" si="43"/>
        <v>0</v>
      </c>
      <c r="AG180" s="2">
        <f t="shared" si="44"/>
        <v>0</v>
      </c>
      <c r="AH180" s="2">
        <f t="shared" si="45"/>
        <v>0</v>
      </c>
      <c r="AI180" s="1">
        <f t="shared" si="46"/>
        <v>160.99200000000002</v>
      </c>
      <c r="AJ180" s="1">
        <f t="shared" si="47"/>
        <v>255.36</v>
      </c>
      <c r="AK180" s="1" t="str">
        <f t="shared" si="48"/>
        <v/>
      </c>
      <c r="AL180" s="1" t="str">
        <f t="shared" si="49"/>
        <v/>
      </c>
      <c r="AM180" s="1" t="str">
        <f t="shared" si="34"/>
        <v/>
      </c>
      <c r="AN180" s="5">
        <f t="shared" si="35"/>
        <v>0</v>
      </c>
      <c r="AO180" s="1" t="str">
        <f t="shared" si="50"/>
        <v/>
      </c>
    </row>
    <row r="181" spans="1:41">
      <c r="A181" t="s">
        <v>676</v>
      </c>
      <c r="B181" t="s">
        <v>667</v>
      </c>
      <c r="C181" t="s">
        <v>677</v>
      </c>
      <c r="D181">
        <v>666</v>
      </c>
      <c r="E181">
        <v>49</v>
      </c>
      <c r="F181">
        <v>0</v>
      </c>
      <c r="G181">
        <v>2</v>
      </c>
      <c r="H181">
        <v>1</v>
      </c>
      <c r="J181">
        <v>1</v>
      </c>
      <c r="K181">
        <v>1</v>
      </c>
      <c r="L181" t="s">
        <v>678</v>
      </c>
      <c r="M181" t="s">
        <v>679</v>
      </c>
      <c r="N181" t="s">
        <v>671</v>
      </c>
      <c r="O181">
        <v>0</v>
      </c>
      <c r="P181" t="s">
        <v>289</v>
      </c>
      <c r="Q181" t="s">
        <v>134</v>
      </c>
      <c r="R181">
        <v>10695</v>
      </c>
      <c r="S181" t="s">
        <v>679</v>
      </c>
      <c r="U181" t="s">
        <v>290</v>
      </c>
      <c r="V181" t="s">
        <v>291</v>
      </c>
      <c r="W181">
        <v>12278076</v>
      </c>
      <c r="X181" t="s">
        <v>680</v>
      </c>
      <c r="Y181">
        <f t="shared" si="36"/>
        <v>6.5268000000000007E-2</v>
      </c>
      <c r="Z181">
        <f t="shared" si="37"/>
        <v>2.86</v>
      </c>
      <c r="AA181">
        <f t="shared" si="38"/>
        <v>1.528</v>
      </c>
      <c r="AB181" s="2">
        <f t="shared" si="39"/>
        <v>15</v>
      </c>
      <c r="AC181" s="2">
        <f t="shared" si="40"/>
        <v>12</v>
      </c>
      <c r="AD181" s="2">
        <f t="shared" si="41"/>
        <v>0</v>
      </c>
      <c r="AE181" s="2">
        <f t="shared" si="42"/>
        <v>0</v>
      </c>
      <c r="AF181" s="2">
        <f t="shared" si="43"/>
        <v>9</v>
      </c>
      <c r="AG181" s="2">
        <f t="shared" si="44"/>
        <v>0</v>
      </c>
      <c r="AH181" s="2">
        <f t="shared" si="45"/>
        <v>0</v>
      </c>
      <c r="AI181" s="1">
        <f t="shared" si="46"/>
        <v>102.96</v>
      </c>
      <c r="AJ181" s="1">
        <f t="shared" si="47"/>
        <v>91.68</v>
      </c>
      <c r="AK181" s="1" t="str">
        <f t="shared" si="48"/>
        <v/>
      </c>
      <c r="AL181" s="1" t="str">
        <f t="shared" si="49"/>
        <v/>
      </c>
      <c r="AM181" s="1">
        <f t="shared" si="34"/>
        <v>260</v>
      </c>
      <c r="AN181" s="5">
        <f t="shared" si="35"/>
        <v>0</v>
      </c>
      <c r="AO181" s="1" t="str">
        <f t="shared" si="50"/>
        <v/>
      </c>
    </row>
    <row r="182" spans="1:41">
      <c r="A182" t="s">
        <v>676</v>
      </c>
      <c r="B182" t="s">
        <v>667</v>
      </c>
      <c r="C182" t="s">
        <v>677</v>
      </c>
      <c r="D182">
        <v>666</v>
      </c>
      <c r="E182">
        <v>49</v>
      </c>
      <c r="F182">
        <v>0</v>
      </c>
      <c r="G182">
        <v>2</v>
      </c>
      <c r="H182">
        <v>1</v>
      </c>
      <c r="J182">
        <v>1</v>
      </c>
      <c r="K182">
        <v>1</v>
      </c>
      <c r="L182" t="s">
        <v>678</v>
      </c>
      <c r="M182" t="s">
        <v>679</v>
      </c>
      <c r="N182" t="s">
        <v>671</v>
      </c>
      <c r="O182">
        <v>0</v>
      </c>
      <c r="P182" t="s">
        <v>289</v>
      </c>
      <c r="Q182" t="s">
        <v>134</v>
      </c>
      <c r="R182">
        <v>10695</v>
      </c>
      <c r="S182" t="s">
        <v>679</v>
      </c>
      <c r="U182" t="s">
        <v>290</v>
      </c>
      <c r="V182" t="s">
        <v>291</v>
      </c>
      <c r="W182">
        <v>12278076</v>
      </c>
      <c r="X182" t="s">
        <v>681</v>
      </c>
      <c r="Y182">
        <f t="shared" si="36"/>
        <v>6.5268000000000007E-2</v>
      </c>
      <c r="Z182">
        <f t="shared" si="37"/>
        <v>2.86</v>
      </c>
      <c r="AA182">
        <f t="shared" si="38"/>
        <v>1.528</v>
      </c>
      <c r="AB182" s="2">
        <f t="shared" si="39"/>
        <v>15</v>
      </c>
      <c r="AC182" s="2">
        <f t="shared" si="40"/>
        <v>12</v>
      </c>
      <c r="AD182" s="2">
        <f t="shared" si="41"/>
        <v>0</v>
      </c>
      <c r="AE182" s="2">
        <f t="shared" si="42"/>
        <v>0</v>
      </c>
      <c r="AF182" s="2">
        <f t="shared" si="43"/>
        <v>9</v>
      </c>
      <c r="AG182" s="2">
        <f t="shared" si="44"/>
        <v>0</v>
      </c>
      <c r="AH182" s="2">
        <f t="shared" si="45"/>
        <v>0</v>
      </c>
      <c r="AI182" s="1">
        <f t="shared" si="46"/>
        <v>102.96</v>
      </c>
      <c r="AJ182" s="1">
        <f t="shared" si="47"/>
        <v>91.68</v>
      </c>
      <c r="AK182" s="1" t="str">
        <f t="shared" si="48"/>
        <v/>
      </c>
      <c r="AL182" s="1" t="str">
        <f t="shared" si="49"/>
        <v/>
      </c>
      <c r="AM182" s="1">
        <f t="shared" si="34"/>
        <v>260</v>
      </c>
      <c r="AN182" s="5">
        <f t="shared" si="35"/>
        <v>0</v>
      </c>
      <c r="AO182" s="1" t="str">
        <f t="shared" si="50"/>
        <v/>
      </c>
    </row>
    <row r="183" spans="1:41">
      <c r="A183" t="s">
        <v>682</v>
      </c>
      <c r="B183" t="s">
        <v>667</v>
      </c>
      <c r="C183" t="s">
        <v>683</v>
      </c>
      <c r="D183">
        <v>566</v>
      </c>
      <c r="E183">
        <v>100</v>
      </c>
      <c r="F183">
        <v>0</v>
      </c>
      <c r="G183">
        <v>4</v>
      </c>
      <c r="J183">
        <v>1</v>
      </c>
      <c r="K183">
        <v>1</v>
      </c>
      <c r="L183" t="s">
        <v>682</v>
      </c>
      <c r="M183" t="s">
        <v>684</v>
      </c>
      <c r="N183" t="s">
        <v>671</v>
      </c>
      <c r="O183">
        <v>0</v>
      </c>
      <c r="P183" t="s">
        <v>289</v>
      </c>
      <c r="Q183" t="s">
        <v>134</v>
      </c>
      <c r="R183">
        <v>10695</v>
      </c>
      <c r="S183" t="s">
        <v>684</v>
      </c>
      <c r="U183" t="s">
        <v>290</v>
      </c>
      <c r="V183" t="s">
        <v>291</v>
      </c>
      <c r="W183">
        <v>12278114</v>
      </c>
      <c r="X183" t="s">
        <v>685</v>
      </c>
      <c r="Y183">
        <f t="shared" si="36"/>
        <v>0.22639999999999999</v>
      </c>
      <c r="Z183">
        <f t="shared" si="37"/>
        <v>5.3280000000000003</v>
      </c>
      <c r="AA183">
        <f t="shared" si="38"/>
        <v>0.8</v>
      </c>
      <c r="AB183" s="2">
        <f t="shared" si="39"/>
        <v>15</v>
      </c>
      <c r="AC183" s="2">
        <f t="shared" si="40"/>
        <v>12</v>
      </c>
      <c r="AD183" s="2">
        <f t="shared" si="41"/>
        <v>0</v>
      </c>
      <c r="AE183" s="2">
        <f t="shared" si="42"/>
        <v>0</v>
      </c>
      <c r="AF183" s="2">
        <f t="shared" si="43"/>
        <v>9</v>
      </c>
      <c r="AG183" s="2">
        <f t="shared" si="44"/>
        <v>0</v>
      </c>
      <c r="AH183" s="2">
        <f t="shared" si="45"/>
        <v>0</v>
      </c>
      <c r="AI183" s="1">
        <f t="shared" si="46"/>
        <v>191.80800000000002</v>
      </c>
      <c r="AJ183" s="1">
        <f t="shared" si="47"/>
        <v>48</v>
      </c>
      <c r="AK183" s="1" t="str">
        <f t="shared" si="48"/>
        <v/>
      </c>
      <c r="AL183" s="1" t="str">
        <f t="shared" si="49"/>
        <v/>
      </c>
      <c r="AM183" s="1">
        <f t="shared" si="34"/>
        <v>520</v>
      </c>
      <c r="AN183" s="5">
        <f t="shared" si="35"/>
        <v>0</v>
      </c>
      <c r="AO183" s="1" t="str">
        <f t="shared" si="50"/>
        <v/>
      </c>
    </row>
    <row r="184" spans="1:41">
      <c r="A184" t="s">
        <v>686</v>
      </c>
      <c r="B184" t="s">
        <v>667</v>
      </c>
      <c r="C184" t="s">
        <v>687</v>
      </c>
      <c r="D184">
        <v>1466</v>
      </c>
      <c r="E184">
        <v>452</v>
      </c>
      <c r="F184">
        <v>0</v>
      </c>
      <c r="G184">
        <v>1</v>
      </c>
      <c r="H184">
        <v>1</v>
      </c>
      <c r="I184">
        <v>1</v>
      </c>
      <c r="J184">
        <v>1</v>
      </c>
      <c r="K184">
        <v>1</v>
      </c>
      <c r="L184" t="s">
        <v>688</v>
      </c>
      <c r="M184" t="s">
        <v>597</v>
      </c>
      <c r="N184" t="s">
        <v>671</v>
      </c>
      <c r="O184">
        <v>0</v>
      </c>
      <c r="P184" t="s">
        <v>420</v>
      </c>
      <c r="Q184" t="s">
        <v>374</v>
      </c>
      <c r="R184">
        <v>3136</v>
      </c>
      <c r="S184" t="s">
        <v>597</v>
      </c>
      <c r="U184" t="s">
        <v>83</v>
      </c>
      <c r="V184" t="s">
        <v>421</v>
      </c>
      <c r="W184">
        <v>12278186</v>
      </c>
      <c r="X184" t="s">
        <v>689</v>
      </c>
      <c r="Y184">
        <f t="shared" si="36"/>
        <v>0.662632</v>
      </c>
      <c r="Z184">
        <f t="shared" si="37"/>
        <v>3.8359999999999999</v>
      </c>
      <c r="AA184">
        <f t="shared" si="38"/>
        <v>3.8359999999999999</v>
      </c>
      <c r="AB184" s="2">
        <f t="shared" si="39"/>
        <v>16</v>
      </c>
      <c r="AC184" s="2">
        <f t="shared" si="40"/>
        <v>13</v>
      </c>
      <c r="AD184" s="2">
        <f t="shared" si="41"/>
        <v>0</v>
      </c>
      <c r="AE184" s="2">
        <f t="shared" si="42"/>
        <v>0</v>
      </c>
      <c r="AF184" s="2">
        <f t="shared" si="43"/>
        <v>10</v>
      </c>
      <c r="AG184" s="2">
        <f t="shared" si="44"/>
        <v>0</v>
      </c>
      <c r="AH184" s="2">
        <f t="shared" si="45"/>
        <v>0</v>
      </c>
      <c r="AI184" s="1">
        <f t="shared" si="46"/>
        <v>138.096</v>
      </c>
      <c r="AJ184" s="1">
        <f t="shared" si="47"/>
        <v>230.16</v>
      </c>
      <c r="AK184" s="1" t="str">
        <f t="shared" si="48"/>
        <v/>
      </c>
      <c r="AL184" s="1" t="str">
        <f t="shared" si="49"/>
        <v/>
      </c>
      <c r="AM184" s="1">
        <f t="shared" si="34"/>
        <v>130</v>
      </c>
      <c r="AN184" s="5">
        <f t="shared" si="35"/>
        <v>0</v>
      </c>
      <c r="AO184" s="1" t="str">
        <f t="shared" si="50"/>
        <v/>
      </c>
    </row>
    <row r="185" spans="1:41">
      <c r="A185" t="s">
        <v>690</v>
      </c>
      <c r="B185" t="s">
        <v>667</v>
      </c>
      <c r="C185" t="s">
        <v>691</v>
      </c>
      <c r="D185">
        <v>1468</v>
      </c>
      <c r="E185">
        <v>415</v>
      </c>
      <c r="F185">
        <v>0</v>
      </c>
      <c r="G185">
        <v>1</v>
      </c>
      <c r="H185">
        <v>1</v>
      </c>
      <c r="L185" t="s">
        <v>692</v>
      </c>
      <c r="M185" t="s">
        <v>693</v>
      </c>
      <c r="N185" t="s">
        <v>671</v>
      </c>
      <c r="O185">
        <v>0</v>
      </c>
      <c r="P185" t="s">
        <v>420</v>
      </c>
      <c r="Q185" t="s">
        <v>374</v>
      </c>
      <c r="R185">
        <v>3136</v>
      </c>
      <c r="S185" t="s">
        <v>693</v>
      </c>
      <c r="U185" t="s">
        <v>83</v>
      </c>
      <c r="V185" t="s">
        <v>421</v>
      </c>
      <c r="W185">
        <v>12278180</v>
      </c>
      <c r="X185" t="s">
        <v>689</v>
      </c>
      <c r="Y185">
        <f t="shared" si="36"/>
        <v>0.60921999999999998</v>
      </c>
      <c r="Z185">
        <f t="shared" si="37"/>
        <v>3.766</v>
      </c>
      <c r="AA185">
        <f t="shared" si="38"/>
        <v>1.468</v>
      </c>
      <c r="AB185" s="2">
        <f t="shared" si="39"/>
        <v>16</v>
      </c>
      <c r="AC185" s="2">
        <f t="shared" si="40"/>
        <v>13</v>
      </c>
      <c r="AD185" s="2">
        <f t="shared" si="41"/>
        <v>0</v>
      </c>
      <c r="AE185" s="2">
        <f t="shared" si="42"/>
        <v>0</v>
      </c>
      <c r="AF185" s="2">
        <f t="shared" si="43"/>
        <v>10</v>
      </c>
      <c r="AG185" s="2">
        <f t="shared" si="44"/>
        <v>0</v>
      </c>
      <c r="AH185" s="2">
        <f t="shared" si="45"/>
        <v>0</v>
      </c>
      <c r="AI185" s="1">
        <f t="shared" si="46"/>
        <v>135.57599999999999</v>
      </c>
      <c r="AJ185" s="1">
        <f t="shared" si="47"/>
        <v>88.08</v>
      </c>
      <c r="AK185" s="1" t="str">
        <f t="shared" si="48"/>
        <v/>
      </c>
      <c r="AL185" s="1" t="str">
        <f t="shared" si="49"/>
        <v/>
      </c>
      <c r="AM185" s="1">
        <f t="shared" si="34"/>
        <v>130</v>
      </c>
      <c r="AN185" s="5">
        <f t="shared" si="35"/>
        <v>0</v>
      </c>
      <c r="AO185" s="1" t="str">
        <f t="shared" si="50"/>
        <v/>
      </c>
    </row>
    <row r="186" spans="1:41">
      <c r="A186" t="s">
        <v>694</v>
      </c>
      <c r="B186" t="s">
        <v>667</v>
      </c>
      <c r="C186" t="s">
        <v>695</v>
      </c>
      <c r="D186">
        <v>490</v>
      </c>
      <c r="E186">
        <v>414</v>
      </c>
      <c r="F186">
        <v>0</v>
      </c>
      <c r="G186">
        <v>2</v>
      </c>
      <c r="H186">
        <v>1</v>
      </c>
      <c r="L186" t="s">
        <v>696</v>
      </c>
      <c r="M186" t="s">
        <v>697</v>
      </c>
      <c r="N186" t="s">
        <v>671</v>
      </c>
      <c r="O186">
        <v>0</v>
      </c>
      <c r="P186" t="s">
        <v>420</v>
      </c>
      <c r="Q186" t="s">
        <v>374</v>
      </c>
      <c r="R186">
        <v>3136</v>
      </c>
      <c r="S186" t="s">
        <v>697</v>
      </c>
      <c r="U186" t="s">
        <v>83</v>
      </c>
      <c r="V186" t="s">
        <v>421</v>
      </c>
      <c r="W186">
        <v>12278230</v>
      </c>
      <c r="X186" t="s">
        <v>698</v>
      </c>
      <c r="Y186">
        <f t="shared" si="36"/>
        <v>0.40572000000000003</v>
      </c>
      <c r="Z186">
        <f t="shared" si="37"/>
        <v>3.6160000000000001</v>
      </c>
      <c r="AA186">
        <f t="shared" si="38"/>
        <v>0.98</v>
      </c>
      <c r="AB186" s="2">
        <f t="shared" si="39"/>
        <v>13</v>
      </c>
      <c r="AC186" s="2">
        <f t="shared" si="40"/>
        <v>10</v>
      </c>
      <c r="AD186" s="2">
        <f t="shared" si="41"/>
        <v>0</v>
      </c>
      <c r="AE186" s="2">
        <f t="shared" si="42"/>
        <v>0</v>
      </c>
      <c r="AF186" s="2">
        <f t="shared" si="43"/>
        <v>0</v>
      </c>
      <c r="AG186" s="2">
        <f t="shared" si="44"/>
        <v>0</v>
      </c>
      <c r="AH186" s="2">
        <f t="shared" si="45"/>
        <v>0</v>
      </c>
      <c r="AI186" s="1">
        <f t="shared" si="46"/>
        <v>130.17600000000002</v>
      </c>
      <c r="AJ186" s="1">
        <f t="shared" si="47"/>
        <v>58.8</v>
      </c>
      <c r="AK186" s="1" t="str">
        <f t="shared" si="48"/>
        <v/>
      </c>
      <c r="AL186" s="1" t="str">
        <f t="shared" si="49"/>
        <v/>
      </c>
      <c r="AM186" s="1" t="str">
        <f t="shared" si="34"/>
        <v/>
      </c>
      <c r="AN186" s="5">
        <f t="shared" si="35"/>
        <v>0</v>
      </c>
      <c r="AO186" s="1" t="str">
        <f t="shared" si="50"/>
        <v/>
      </c>
    </row>
    <row r="187" spans="1:41">
      <c r="A187" t="s">
        <v>699</v>
      </c>
      <c r="B187" t="s">
        <v>667</v>
      </c>
      <c r="C187" t="s">
        <v>700</v>
      </c>
      <c r="D187">
        <v>898</v>
      </c>
      <c r="E187">
        <v>598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 t="s">
        <v>701</v>
      </c>
      <c r="M187" t="s">
        <v>621</v>
      </c>
      <c r="N187" t="s">
        <v>671</v>
      </c>
      <c r="O187">
        <v>0</v>
      </c>
      <c r="P187" t="s">
        <v>360</v>
      </c>
      <c r="Q187" t="s">
        <v>134</v>
      </c>
      <c r="R187">
        <v>10695</v>
      </c>
      <c r="S187" t="s">
        <v>621</v>
      </c>
      <c r="U187" t="s">
        <v>361</v>
      </c>
      <c r="V187" t="s">
        <v>362</v>
      </c>
      <c r="W187">
        <v>12278677</v>
      </c>
      <c r="X187" t="s">
        <v>363</v>
      </c>
      <c r="Y187">
        <f t="shared" si="36"/>
        <v>0.53700400000000004</v>
      </c>
      <c r="Z187">
        <f t="shared" si="37"/>
        <v>2.992</v>
      </c>
      <c r="AA187">
        <f t="shared" si="38"/>
        <v>2.992</v>
      </c>
      <c r="AB187" s="2">
        <f t="shared" si="39"/>
        <v>16</v>
      </c>
      <c r="AC187" s="2">
        <f t="shared" si="40"/>
        <v>13</v>
      </c>
      <c r="AD187" s="2">
        <f t="shared" si="41"/>
        <v>0</v>
      </c>
      <c r="AE187" s="2">
        <f t="shared" si="42"/>
        <v>0</v>
      </c>
      <c r="AF187" s="2">
        <f t="shared" si="43"/>
        <v>10</v>
      </c>
      <c r="AG187" s="2">
        <f t="shared" si="44"/>
        <v>0</v>
      </c>
      <c r="AH187" s="2">
        <f t="shared" si="45"/>
        <v>0</v>
      </c>
      <c r="AI187" s="1">
        <f t="shared" si="46"/>
        <v>107.712</v>
      </c>
      <c r="AJ187" s="1">
        <f t="shared" si="47"/>
        <v>179.52</v>
      </c>
      <c r="AK187" s="1" t="str">
        <f t="shared" si="48"/>
        <v/>
      </c>
      <c r="AL187" s="1" t="str">
        <f t="shared" si="49"/>
        <v/>
      </c>
      <c r="AM187" s="1">
        <f t="shared" si="34"/>
        <v>130</v>
      </c>
      <c r="AN187" s="5">
        <f t="shared" si="35"/>
        <v>0</v>
      </c>
      <c r="AO187" s="1" t="str">
        <f t="shared" si="50"/>
        <v/>
      </c>
    </row>
    <row r="188" spans="1:41">
      <c r="A188" t="s">
        <v>702</v>
      </c>
      <c r="B188" t="s">
        <v>667</v>
      </c>
      <c r="C188" t="s">
        <v>703</v>
      </c>
      <c r="D188">
        <v>602</v>
      </c>
      <c r="E188">
        <v>578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1</v>
      </c>
      <c r="L188" t="s">
        <v>704</v>
      </c>
      <c r="M188" t="s">
        <v>630</v>
      </c>
      <c r="N188" t="s">
        <v>671</v>
      </c>
      <c r="O188">
        <v>0</v>
      </c>
      <c r="P188" t="s">
        <v>360</v>
      </c>
      <c r="Q188" t="s">
        <v>134</v>
      </c>
      <c r="R188">
        <v>10695</v>
      </c>
      <c r="S188" t="s">
        <v>630</v>
      </c>
      <c r="U188" t="s">
        <v>361</v>
      </c>
      <c r="V188" t="s">
        <v>362</v>
      </c>
      <c r="W188">
        <v>12278680</v>
      </c>
      <c r="X188" t="s">
        <v>363</v>
      </c>
      <c r="Y188">
        <f t="shared" si="36"/>
        <v>0.34795599999999999</v>
      </c>
      <c r="Z188">
        <f t="shared" si="37"/>
        <v>2.36</v>
      </c>
      <c r="AA188">
        <f t="shared" si="38"/>
        <v>2.36</v>
      </c>
      <c r="AB188" s="2">
        <f t="shared" si="39"/>
        <v>16</v>
      </c>
      <c r="AC188" s="2">
        <f t="shared" si="40"/>
        <v>13</v>
      </c>
      <c r="AD188" s="2">
        <f t="shared" si="41"/>
        <v>0</v>
      </c>
      <c r="AE188" s="2">
        <f t="shared" si="42"/>
        <v>0</v>
      </c>
      <c r="AF188" s="2">
        <f t="shared" si="43"/>
        <v>10</v>
      </c>
      <c r="AG188" s="2">
        <f t="shared" si="44"/>
        <v>0</v>
      </c>
      <c r="AH188" s="2">
        <f t="shared" si="45"/>
        <v>0</v>
      </c>
      <c r="AI188" s="1">
        <f t="shared" si="46"/>
        <v>84.96</v>
      </c>
      <c r="AJ188" s="1">
        <f t="shared" si="47"/>
        <v>141.6</v>
      </c>
      <c r="AK188" s="1" t="str">
        <f t="shared" si="48"/>
        <v/>
      </c>
      <c r="AL188" s="1" t="str">
        <f t="shared" si="49"/>
        <v/>
      </c>
      <c r="AM188" s="1">
        <f t="shared" si="34"/>
        <v>130</v>
      </c>
      <c r="AN188" s="5">
        <f t="shared" si="35"/>
        <v>0</v>
      </c>
      <c r="AO188" s="1" t="str">
        <f t="shared" si="50"/>
        <v/>
      </c>
    </row>
    <row r="189" spans="1:41">
      <c r="A189" t="s">
        <v>705</v>
      </c>
      <c r="B189" t="s">
        <v>667</v>
      </c>
      <c r="C189" t="s">
        <v>706</v>
      </c>
      <c r="D189">
        <v>602</v>
      </c>
      <c r="E189">
        <v>578</v>
      </c>
      <c r="F189">
        <v>0</v>
      </c>
      <c r="G189">
        <v>1</v>
      </c>
      <c r="H189">
        <v>1</v>
      </c>
      <c r="I189">
        <v>1</v>
      </c>
      <c r="J189">
        <v>1</v>
      </c>
      <c r="K189">
        <v>1</v>
      </c>
      <c r="L189" t="s">
        <v>707</v>
      </c>
      <c r="M189" t="s">
        <v>626</v>
      </c>
      <c r="N189" t="s">
        <v>671</v>
      </c>
      <c r="O189">
        <v>0</v>
      </c>
      <c r="P189" t="s">
        <v>360</v>
      </c>
      <c r="Q189" t="s">
        <v>134</v>
      </c>
      <c r="R189">
        <v>10695</v>
      </c>
      <c r="S189" t="s">
        <v>626</v>
      </c>
      <c r="U189" t="s">
        <v>361</v>
      </c>
      <c r="V189" t="s">
        <v>362</v>
      </c>
      <c r="W189">
        <v>12278683</v>
      </c>
      <c r="X189" t="s">
        <v>363</v>
      </c>
      <c r="Y189">
        <f t="shared" si="36"/>
        <v>0.34795599999999999</v>
      </c>
      <c r="Z189">
        <f t="shared" si="37"/>
        <v>2.36</v>
      </c>
      <c r="AA189">
        <f t="shared" si="38"/>
        <v>2.36</v>
      </c>
      <c r="AB189" s="2">
        <f t="shared" si="39"/>
        <v>19</v>
      </c>
      <c r="AC189" s="2">
        <f t="shared" si="40"/>
        <v>16</v>
      </c>
      <c r="AD189" s="2">
        <f t="shared" si="41"/>
        <v>0</v>
      </c>
      <c r="AE189" s="2">
        <f t="shared" si="42"/>
        <v>0</v>
      </c>
      <c r="AF189" s="2">
        <f t="shared" si="43"/>
        <v>13</v>
      </c>
      <c r="AG189" s="2">
        <f t="shared" si="44"/>
        <v>0</v>
      </c>
      <c r="AH189" s="2">
        <f t="shared" si="45"/>
        <v>0</v>
      </c>
      <c r="AI189" s="1">
        <f t="shared" si="46"/>
        <v>84.96</v>
      </c>
      <c r="AJ189" s="1">
        <f t="shared" si="47"/>
        <v>141.6</v>
      </c>
      <c r="AK189" s="1" t="str">
        <f t="shared" si="48"/>
        <v/>
      </c>
      <c r="AL189" s="1" t="str">
        <f t="shared" si="49"/>
        <v/>
      </c>
      <c r="AM189" s="1">
        <f t="shared" si="34"/>
        <v>130</v>
      </c>
      <c r="AN189" s="5">
        <f t="shared" si="35"/>
        <v>0</v>
      </c>
      <c r="AO189" s="1" t="str">
        <f t="shared" si="50"/>
        <v/>
      </c>
    </row>
    <row r="190" spans="1:41">
      <c r="A190" t="s">
        <v>708</v>
      </c>
      <c r="B190" t="s">
        <v>667</v>
      </c>
      <c r="C190" t="s">
        <v>709</v>
      </c>
      <c r="D190">
        <v>604</v>
      </c>
      <c r="E190">
        <v>866</v>
      </c>
      <c r="F190">
        <v>0</v>
      </c>
      <c r="G190">
        <v>1</v>
      </c>
      <c r="H190">
        <v>1</v>
      </c>
      <c r="L190" t="s">
        <v>710</v>
      </c>
      <c r="M190" t="s">
        <v>657</v>
      </c>
      <c r="N190" t="s">
        <v>671</v>
      </c>
      <c r="O190">
        <v>0</v>
      </c>
      <c r="P190" t="s">
        <v>360</v>
      </c>
      <c r="Q190" t="s">
        <v>134</v>
      </c>
      <c r="R190">
        <v>10695</v>
      </c>
      <c r="S190" t="s">
        <v>657</v>
      </c>
      <c r="U190" t="s">
        <v>361</v>
      </c>
      <c r="V190" t="s">
        <v>362</v>
      </c>
      <c r="W190">
        <v>12278686</v>
      </c>
      <c r="X190" t="s">
        <v>363</v>
      </c>
      <c r="Y190">
        <f t="shared" si="36"/>
        <v>0.52306399999999997</v>
      </c>
      <c r="Z190">
        <f t="shared" si="37"/>
        <v>2.94</v>
      </c>
      <c r="AA190">
        <f t="shared" si="38"/>
        <v>0.60399999999999998</v>
      </c>
      <c r="AB190" s="2">
        <f t="shared" si="39"/>
        <v>13</v>
      </c>
      <c r="AC190" s="2">
        <f t="shared" si="40"/>
        <v>0</v>
      </c>
      <c r="AD190" s="2">
        <f t="shared" si="41"/>
        <v>0</v>
      </c>
      <c r="AE190" s="2">
        <f t="shared" si="42"/>
        <v>0</v>
      </c>
      <c r="AF190" s="2">
        <f t="shared" si="43"/>
        <v>10</v>
      </c>
      <c r="AG190" s="2">
        <f t="shared" si="44"/>
        <v>0</v>
      </c>
      <c r="AH190" s="2">
        <f t="shared" si="45"/>
        <v>0</v>
      </c>
      <c r="AI190" s="1">
        <f t="shared" si="46"/>
        <v>105.84</v>
      </c>
      <c r="AJ190" s="1">
        <f t="shared" si="47"/>
        <v>36.24</v>
      </c>
      <c r="AK190" s="1" t="str">
        <f t="shared" si="48"/>
        <v/>
      </c>
      <c r="AL190" s="1" t="str">
        <f t="shared" si="49"/>
        <v/>
      </c>
      <c r="AM190" s="1">
        <f t="shared" si="34"/>
        <v>130</v>
      </c>
      <c r="AN190" s="5">
        <f t="shared" si="35"/>
        <v>0</v>
      </c>
      <c r="AO190" s="1" t="str">
        <f t="shared" si="50"/>
        <v/>
      </c>
    </row>
    <row r="191" spans="1:41">
      <c r="A191" t="s">
        <v>711</v>
      </c>
      <c r="B191" t="s">
        <v>667</v>
      </c>
      <c r="C191" t="s">
        <v>712</v>
      </c>
      <c r="D191">
        <v>898</v>
      </c>
      <c r="E191">
        <v>598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1</v>
      </c>
      <c r="L191" t="s">
        <v>713</v>
      </c>
      <c r="M191" t="s">
        <v>642</v>
      </c>
      <c r="N191" t="s">
        <v>671</v>
      </c>
      <c r="O191">
        <v>0</v>
      </c>
      <c r="P191" t="s">
        <v>360</v>
      </c>
      <c r="Q191" t="s">
        <v>134</v>
      </c>
      <c r="R191">
        <v>10695</v>
      </c>
      <c r="S191" t="s">
        <v>642</v>
      </c>
      <c r="U191" t="s">
        <v>361</v>
      </c>
      <c r="V191" t="s">
        <v>362</v>
      </c>
      <c r="W191">
        <v>12278720</v>
      </c>
      <c r="X191" t="s">
        <v>363</v>
      </c>
      <c r="Y191">
        <f t="shared" si="36"/>
        <v>0.53700400000000004</v>
      </c>
      <c r="Z191">
        <f t="shared" si="37"/>
        <v>2.992</v>
      </c>
      <c r="AA191">
        <f t="shared" si="38"/>
        <v>2.992</v>
      </c>
      <c r="AB191" s="2">
        <f t="shared" si="39"/>
        <v>16</v>
      </c>
      <c r="AC191" s="2">
        <f t="shared" si="40"/>
        <v>13</v>
      </c>
      <c r="AD191" s="2">
        <f t="shared" si="41"/>
        <v>0</v>
      </c>
      <c r="AE191" s="2">
        <f t="shared" si="42"/>
        <v>0</v>
      </c>
      <c r="AF191" s="2">
        <f t="shared" si="43"/>
        <v>10</v>
      </c>
      <c r="AG191" s="2">
        <f t="shared" si="44"/>
        <v>0</v>
      </c>
      <c r="AH191" s="2">
        <f t="shared" si="45"/>
        <v>0</v>
      </c>
      <c r="AI191" s="1">
        <f t="shared" si="46"/>
        <v>107.712</v>
      </c>
      <c r="AJ191" s="1">
        <f t="shared" si="47"/>
        <v>179.52</v>
      </c>
      <c r="AK191" s="1" t="str">
        <f t="shared" si="48"/>
        <v/>
      </c>
      <c r="AL191" s="1" t="str">
        <f t="shared" si="49"/>
        <v/>
      </c>
      <c r="AM191" s="1">
        <f t="shared" si="34"/>
        <v>130</v>
      </c>
      <c r="AN191" s="5">
        <f t="shared" si="35"/>
        <v>0</v>
      </c>
      <c r="AO191" s="1" t="str">
        <f t="shared" si="50"/>
        <v/>
      </c>
    </row>
    <row r="192" spans="1:41">
      <c r="A192" t="s">
        <v>714</v>
      </c>
      <c r="B192" t="s">
        <v>667</v>
      </c>
      <c r="C192" t="s">
        <v>715</v>
      </c>
      <c r="D192">
        <v>604</v>
      </c>
      <c r="E192">
        <v>561</v>
      </c>
      <c r="F192">
        <v>0</v>
      </c>
      <c r="G192">
        <v>1</v>
      </c>
      <c r="H192">
        <v>1</v>
      </c>
      <c r="L192" t="s">
        <v>716</v>
      </c>
      <c r="M192" t="s">
        <v>717</v>
      </c>
      <c r="N192" t="s">
        <v>671</v>
      </c>
      <c r="O192">
        <v>0</v>
      </c>
      <c r="P192" t="s">
        <v>360</v>
      </c>
      <c r="Q192" t="s">
        <v>134</v>
      </c>
      <c r="R192">
        <v>10695</v>
      </c>
      <c r="S192" t="s">
        <v>717</v>
      </c>
      <c r="U192" t="s">
        <v>361</v>
      </c>
      <c r="V192" t="s">
        <v>362</v>
      </c>
      <c r="W192">
        <v>12278689</v>
      </c>
      <c r="X192" t="s">
        <v>363</v>
      </c>
      <c r="Y192">
        <f t="shared" si="36"/>
        <v>0.33884399999999998</v>
      </c>
      <c r="Z192">
        <f t="shared" si="37"/>
        <v>2.33</v>
      </c>
      <c r="AA192">
        <f t="shared" si="38"/>
        <v>0.60399999999999998</v>
      </c>
      <c r="AB192" s="2">
        <f t="shared" si="39"/>
        <v>22</v>
      </c>
      <c r="AC192" s="2">
        <f t="shared" si="40"/>
        <v>16</v>
      </c>
      <c r="AD192" s="2">
        <f t="shared" si="41"/>
        <v>0</v>
      </c>
      <c r="AE192" s="2">
        <f t="shared" si="42"/>
        <v>19</v>
      </c>
      <c r="AF192" s="2">
        <f t="shared" si="43"/>
        <v>13</v>
      </c>
      <c r="AG192" s="2">
        <f t="shared" si="44"/>
        <v>0</v>
      </c>
      <c r="AH192" s="2">
        <f t="shared" si="45"/>
        <v>0</v>
      </c>
      <c r="AI192" s="1">
        <f t="shared" si="46"/>
        <v>83.88</v>
      </c>
      <c r="AJ192" s="1">
        <f t="shared" si="47"/>
        <v>36.24</v>
      </c>
      <c r="AK192" s="1" t="str">
        <f t="shared" si="48"/>
        <v/>
      </c>
      <c r="AL192" s="1">
        <f t="shared" si="49"/>
        <v>240</v>
      </c>
      <c r="AM192" s="1">
        <f t="shared" si="34"/>
        <v>130</v>
      </c>
      <c r="AN192" s="5">
        <f t="shared" si="35"/>
        <v>0</v>
      </c>
      <c r="AO192" s="1" t="str">
        <f t="shared" si="50"/>
        <v/>
      </c>
    </row>
    <row r="193" spans="1:41">
      <c r="A193" t="s">
        <v>718</v>
      </c>
      <c r="B193" t="s">
        <v>667</v>
      </c>
      <c r="C193" t="s">
        <v>719</v>
      </c>
      <c r="D193">
        <v>508</v>
      </c>
      <c r="E193">
        <v>195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 t="s">
        <v>720</v>
      </c>
      <c r="M193" t="s">
        <v>613</v>
      </c>
      <c r="N193" t="s">
        <v>671</v>
      </c>
      <c r="O193">
        <v>0</v>
      </c>
      <c r="P193" t="s">
        <v>360</v>
      </c>
      <c r="Q193" t="s">
        <v>134</v>
      </c>
      <c r="R193">
        <v>10695</v>
      </c>
      <c r="S193" t="s">
        <v>613</v>
      </c>
      <c r="U193" t="s">
        <v>361</v>
      </c>
      <c r="V193" t="s">
        <v>362</v>
      </c>
      <c r="W193">
        <v>12278706</v>
      </c>
      <c r="X193" t="s">
        <v>363</v>
      </c>
      <c r="Y193">
        <f t="shared" si="36"/>
        <v>9.9059999999999995E-2</v>
      </c>
      <c r="Z193">
        <f t="shared" si="37"/>
        <v>1.4059999999999999</v>
      </c>
      <c r="AA193">
        <f t="shared" si="38"/>
        <v>1.4059999999999999</v>
      </c>
      <c r="AB193" s="2">
        <f t="shared" si="39"/>
        <v>16</v>
      </c>
      <c r="AC193" s="2">
        <f t="shared" si="40"/>
        <v>13</v>
      </c>
      <c r="AD193" s="2">
        <f t="shared" si="41"/>
        <v>0</v>
      </c>
      <c r="AE193" s="2">
        <f t="shared" si="42"/>
        <v>0</v>
      </c>
      <c r="AF193" s="2">
        <f t="shared" si="43"/>
        <v>10</v>
      </c>
      <c r="AG193" s="2">
        <f t="shared" si="44"/>
        <v>0</v>
      </c>
      <c r="AH193" s="2">
        <f t="shared" si="45"/>
        <v>0</v>
      </c>
      <c r="AI193" s="1">
        <f t="shared" si="46"/>
        <v>50.616</v>
      </c>
      <c r="AJ193" s="1">
        <f t="shared" si="47"/>
        <v>84.36</v>
      </c>
      <c r="AK193" s="1" t="str">
        <f t="shared" si="48"/>
        <v/>
      </c>
      <c r="AL193" s="1" t="str">
        <f t="shared" si="49"/>
        <v/>
      </c>
      <c r="AM193" s="1">
        <f t="shared" si="34"/>
        <v>130</v>
      </c>
      <c r="AN193" s="5">
        <f t="shared" si="35"/>
        <v>0</v>
      </c>
      <c r="AO193" s="1" t="str">
        <f t="shared" si="50"/>
        <v/>
      </c>
    </row>
    <row r="194" spans="1:41">
      <c r="A194" t="s">
        <v>721</v>
      </c>
      <c r="B194" t="s">
        <v>667</v>
      </c>
      <c r="C194" t="s">
        <v>722</v>
      </c>
      <c r="D194">
        <v>595</v>
      </c>
      <c r="E194">
        <v>381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1</v>
      </c>
      <c r="L194" t="s">
        <v>723</v>
      </c>
      <c r="M194" t="s">
        <v>724</v>
      </c>
      <c r="N194" t="s">
        <v>671</v>
      </c>
      <c r="O194">
        <v>0</v>
      </c>
      <c r="P194" t="s">
        <v>360</v>
      </c>
      <c r="Q194" t="s">
        <v>134</v>
      </c>
      <c r="R194">
        <v>10695</v>
      </c>
      <c r="S194" t="s">
        <v>724</v>
      </c>
      <c r="U194" t="s">
        <v>361</v>
      </c>
      <c r="V194" t="s">
        <v>362</v>
      </c>
      <c r="W194">
        <v>12278705</v>
      </c>
      <c r="X194" t="s">
        <v>363</v>
      </c>
      <c r="Y194">
        <f t="shared" si="36"/>
        <v>0.22669500000000001</v>
      </c>
      <c r="Z194">
        <f t="shared" si="37"/>
        <v>1.952</v>
      </c>
      <c r="AA194">
        <f t="shared" si="38"/>
        <v>1.952</v>
      </c>
      <c r="AB194" s="2">
        <f t="shared" si="39"/>
        <v>19</v>
      </c>
      <c r="AC194" s="2">
        <f t="shared" si="40"/>
        <v>16</v>
      </c>
      <c r="AD194" s="2">
        <f t="shared" si="41"/>
        <v>0</v>
      </c>
      <c r="AE194" s="2">
        <f t="shared" si="42"/>
        <v>0</v>
      </c>
      <c r="AF194" s="2">
        <f t="shared" si="43"/>
        <v>13</v>
      </c>
      <c r="AG194" s="2">
        <f t="shared" si="44"/>
        <v>0</v>
      </c>
      <c r="AH194" s="2">
        <f t="shared" si="45"/>
        <v>0</v>
      </c>
      <c r="AI194" s="1">
        <f t="shared" si="46"/>
        <v>70.271999999999991</v>
      </c>
      <c r="AJ194" s="1">
        <f t="shared" si="47"/>
        <v>117.12</v>
      </c>
      <c r="AK194" s="1" t="str">
        <f t="shared" si="48"/>
        <v/>
      </c>
      <c r="AL194" s="1" t="str">
        <f t="shared" si="49"/>
        <v/>
      </c>
      <c r="AM194" s="1">
        <f t="shared" si="34"/>
        <v>130</v>
      </c>
      <c r="AN194" s="5">
        <f t="shared" si="35"/>
        <v>0</v>
      </c>
      <c r="AO194" s="1" t="str">
        <f t="shared" si="50"/>
        <v/>
      </c>
    </row>
    <row r="195" spans="1:41">
      <c r="A195" t="s">
        <v>725</v>
      </c>
      <c r="B195" t="s">
        <v>667</v>
      </c>
      <c r="C195" t="s">
        <v>726</v>
      </c>
      <c r="D195">
        <v>508</v>
      </c>
      <c r="E195">
        <v>195</v>
      </c>
      <c r="F195">
        <v>0</v>
      </c>
      <c r="G195">
        <v>2</v>
      </c>
      <c r="H195">
        <v>1</v>
      </c>
      <c r="I195">
        <v>1</v>
      </c>
      <c r="J195">
        <v>1</v>
      </c>
      <c r="K195">
        <v>1</v>
      </c>
      <c r="L195" t="s">
        <v>727</v>
      </c>
      <c r="M195" t="s">
        <v>617</v>
      </c>
      <c r="N195" t="s">
        <v>671</v>
      </c>
      <c r="O195">
        <v>0</v>
      </c>
      <c r="P195" t="s">
        <v>360</v>
      </c>
      <c r="Q195" t="s">
        <v>134</v>
      </c>
      <c r="R195">
        <v>10695</v>
      </c>
      <c r="S195" t="s">
        <v>617</v>
      </c>
      <c r="U195" t="s">
        <v>361</v>
      </c>
      <c r="V195" t="s">
        <v>362</v>
      </c>
      <c r="W195">
        <v>12278704</v>
      </c>
      <c r="X195" t="s">
        <v>363</v>
      </c>
      <c r="Y195">
        <f t="shared" si="36"/>
        <v>0.19811999999999999</v>
      </c>
      <c r="Z195">
        <f t="shared" si="37"/>
        <v>2.8119999999999998</v>
      </c>
      <c r="AA195">
        <f t="shared" si="38"/>
        <v>2.8119999999999998</v>
      </c>
      <c r="AB195" s="2">
        <f t="shared" si="39"/>
        <v>19</v>
      </c>
      <c r="AC195" s="2">
        <f t="shared" si="40"/>
        <v>13</v>
      </c>
      <c r="AD195" s="2">
        <f t="shared" si="41"/>
        <v>0</v>
      </c>
      <c r="AE195" s="2">
        <f t="shared" si="42"/>
        <v>16</v>
      </c>
      <c r="AF195" s="2">
        <f t="shared" si="43"/>
        <v>10</v>
      </c>
      <c r="AG195" s="2">
        <f t="shared" si="44"/>
        <v>0</v>
      </c>
      <c r="AH195" s="2">
        <f t="shared" si="45"/>
        <v>0</v>
      </c>
      <c r="AI195" s="1">
        <f t="shared" si="46"/>
        <v>101.232</v>
      </c>
      <c r="AJ195" s="1">
        <f t="shared" si="47"/>
        <v>168.72</v>
      </c>
      <c r="AK195" s="1" t="str">
        <f t="shared" si="48"/>
        <v/>
      </c>
      <c r="AL195" s="1">
        <f t="shared" si="49"/>
        <v>480</v>
      </c>
      <c r="AM195" s="1">
        <f t="shared" ref="AM195:AM258" si="51">IF(AF195&gt;0,G195*(130),"")</f>
        <v>260</v>
      </c>
      <c r="AN195" s="5">
        <f t="shared" ref="AN195:AN258" si="52">IF(AG195&gt;0,G195*252)+IF(AG195&gt;0,G195*Y195*662)</f>
        <v>0</v>
      </c>
      <c r="AO195" s="1" t="str">
        <f t="shared" si="50"/>
        <v/>
      </c>
    </row>
    <row r="196" spans="1:41">
      <c r="A196" t="s">
        <v>728</v>
      </c>
      <c r="B196" t="s">
        <v>667</v>
      </c>
      <c r="C196" t="s">
        <v>729</v>
      </c>
      <c r="D196">
        <v>559</v>
      </c>
      <c r="E196">
        <v>362</v>
      </c>
      <c r="F196">
        <v>0</v>
      </c>
      <c r="G196">
        <v>1</v>
      </c>
      <c r="K196">
        <v>1</v>
      </c>
      <c r="L196" t="s">
        <v>728</v>
      </c>
      <c r="M196" t="s">
        <v>609</v>
      </c>
      <c r="N196" t="s">
        <v>671</v>
      </c>
      <c r="O196">
        <v>0</v>
      </c>
      <c r="P196" t="s">
        <v>360</v>
      </c>
      <c r="Q196" t="s">
        <v>134</v>
      </c>
      <c r="R196">
        <v>10695</v>
      </c>
      <c r="S196" t="s">
        <v>609</v>
      </c>
      <c r="U196" t="s">
        <v>361</v>
      </c>
      <c r="V196" t="s">
        <v>362</v>
      </c>
      <c r="W196">
        <v>12278674</v>
      </c>
      <c r="X196" t="s">
        <v>363</v>
      </c>
      <c r="Y196">
        <f t="shared" ref="Y196:Y259" si="53">(D196*E196)*G196/1000000</f>
        <v>0.20235800000000001</v>
      </c>
      <c r="Z196">
        <f t="shared" ref="Z196:Z259" si="54">(((D196+E196)*2)/1000)*G196</f>
        <v>1.8420000000000001</v>
      </c>
      <c r="AA196">
        <f t="shared" ref="AA196:AA259" si="55">(((D196*H196)+(D196*I196)+(E196*J196)+(E196*K196))/1000)*G196</f>
        <v>0.36199999999999999</v>
      </c>
      <c r="AB196" s="2">
        <f t="shared" ref="AB196:AB259" si="56">SEARCH($AB$1,C196)</f>
        <v>13</v>
      </c>
      <c r="AC196" s="2">
        <f t="shared" ref="AC196:AC259" si="57">IFERROR(SEARCH($AC$1,C196),0)</f>
        <v>10</v>
      </c>
      <c r="AD196" s="2">
        <f t="shared" ref="AD196:AD259" si="58">IFERROR(SEARCH($AD$1,C196),0)</f>
        <v>0</v>
      </c>
      <c r="AE196" s="2">
        <f t="shared" ref="AE196:AE259" si="59">IFERROR(SEARCH($AE$1,C196),0)</f>
        <v>0</v>
      </c>
      <c r="AF196" s="2">
        <f t="shared" ref="AF196:AF259" si="60">IFERROR(SEARCH($AF$1,C196),0)</f>
        <v>0</v>
      </c>
      <c r="AG196" s="2">
        <f t="shared" ref="AG196:AG259" si="61">IFERROR(SEARCH($AG$1,C196),0)</f>
        <v>0</v>
      </c>
      <c r="AH196" s="2">
        <f t="shared" ref="AH196:AH259" si="62">IFERROR(SEARCH($AH$1,C196),0)</f>
        <v>0</v>
      </c>
      <c r="AI196" s="1">
        <f t="shared" ref="AI196:AI259" si="63">Z196*36</f>
        <v>66.311999999999998</v>
      </c>
      <c r="AJ196" s="1">
        <f t="shared" ref="AJ196:AJ259" si="64">AA196*60</f>
        <v>21.72</v>
      </c>
      <c r="AK196" s="1" t="str">
        <f t="shared" ref="AK196:AK259" si="65">IF(AD196&gt;0,G196*220,"")</f>
        <v/>
      </c>
      <c r="AL196" s="1" t="str">
        <f t="shared" ref="AL196:AL259" si="66">IF(AE196&gt;0,G196*(240),"")</f>
        <v/>
      </c>
      <c r="AM196" s="1" t="str">
        <f t="shared" si="51"/>
        <v/>
      </c>
      <c r="AN196" s="5">
        <f t="shared" si="52"/>
        <v>0</v>
      </c>
      <c r="AO196" s="1" t="str">
        <f t="shared" ref="AO196:AO259" si="67">IF(AH196&gt;0,G196*4800,"")</f>
        <v/>
      </c>
    </row>
    <row r="197" spans="1:41">
      <c r="A197" t="s">
        <v>730</v>
      </c>
      <c r="B197" t="s">
        <v>667</v>
      </c>
      <c r="C197" t="s">
        <v>731</v>
      </c>
      <c r="D197">
        <v>1598</v>
      </c>
      <c r="E197">
        <v>600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1</v>
      </c>
      <c r="L197" t="s">
        <v>732</v>
      </c>
      <c r="M197" t="s">
        <v>733</v>
      </c>
      <c r="N197" t="s">
        <v>671</v>
      </c>
      <c r="O197">
        <v>0</v>
      </c>
      <c r="P197" t="s">
        <v>734</v>
      </c>
      <c r="Q197" t="s">
        <v>134</v>
      </c>
      <c r="R197">
        <v>10695</v>
      </c>
      <c r="S197" t="s">
        <v>733</v>
      </c>
      <c r="U197" t="s">
        <v>135</v>
      </c>
      <c r="V197" t="s">
        <v>735</v>
      </c>
      <c r="W197">
        <v>12278448</v>
      </c>
      <c r="X197" t="s">
        <v>736</v>
      </c>
      <c r="Y197">
        <f t="shared" si="53"/>
        <v>0.95879999999999999</v>
      </c>
      <c r="Z197">
        <f t="shared" si="54"/>
        <v>4.3959999999999999</v>
      </c>
      <c r="AA197">
        <f t="shared" si="55"/>
        <v>4.3959999999999999</v>
      </c>
      <c r="AB197" s="2">
        <f t="shared" si="56"/>
        <v>19</v>
      </c>
      <c r="AC197" s="2">
        <f t="shared" si="57"/>
        <v>13</v>
      </c>
      <c r="AD197" s="2">
        <f t="shared" si="58"/>
        <v>0</v>
      </c>
      <c r="AE197" s="2">
        <f t="shared" si="59"/>
        <v>0</v>
      </c>
      <c r="AF197" s="2">
        <f t="shared" si="60"/>
        <v>10</v>
      </c>
      <c r="AG197" s="2">
        <f t="shared" si="61"/>
        <v>0</v>
      </c>
      <c r="AH197" s="2">
        <f t="shared" si="62"/>
        <v>0</v>
      </c>
      <c r="AI197" s="1">
        <f t="shared" si="63"/>
        <v>158.256</v>
      </c>
      <c r="AJ197" s="1">
        <f t="shared" si="64"/>
        <v>263.76</v>
      </c>
      <c r="AK197" s="1" t="str">
        <f t="shared" si="65"/>
        <v/>
      </c>
      <c r="AL197" s="1" t="str">
        <f t="shared" si="66"/>
        <v/>
      </c>
      <c r="AM197" s="1">
        <f t="shared" si="51"/>
        <v>130</v>
      </c>
      <c r="AN197" s="5">
        <f t="shared" si="52"/>
        <v>0</v>
      </c>
      <c r="AO197" s="1" t="str">
        <f t="shared" si="67"/>
        <v/>
      </c>
    </row>
    <row r="198" spans="1:41">
      <c r="A198" t="s">
        <v>737</v>
      </c>
      <c r="B198" t="s">
        <v>667</v>
      </c>
      <c r="C198" t="s">
        <v>738</v>
      </c>
      <c r="D198">
        <v>566</v>
      </c>
      <c r="E198">
        <v>1566</v>
      </c>
      <c r="F198">
        <v>0</v>
      </c>
      <c r="G198">
        <v>1</v>
      </c>
      <c r="K198">
        <v>1</v>
      </c>
      <c r="L198" t="s">
        <v>739</v>
      </c>
      <c r="M198" t="s">
        <v>740</v>
      </c>
      <c r="N198" t="s">
        <v>671</v>
      </c>
      <c r="O198">
        <v>0</v>
      </c>
      <c r="P198" t="s">
        <v>734</v>
      </c>
      <c r="Q198" t="s">
        <v>134</v>
      </c>
      <c r="R198">
        <v>10695</v>
      </c>
      <c r="S198" t="s">
        <v>740</v>
      </c>
      <c r="U198" t="s">
        <v>135</v>
      </c>
      <c r="V198" t="s">
        <v>735</v>
      </c>
      <c r="W198">
        <v>12278445</v>
      </c>
      <c r="X198" t="s">
        <v>736</v>
      </c>
      <c r="Y198">
        <f t="shared" si="53"/>
        <v>0.88635600000000003</v>
      </c>
      <c r="Z198">
        <f t="shared" si="54"/>
        <v>4.2640000000000002</v>
      </c>
      <c r="AA198">
        <f t="shared" si="55"/>
        <v>1.5660000000000001</v>
      </c>
      <c r="AB198" s="2">
        <f t="shared" si="56"/>
        <v>19</v>
      </c>
      <c r="AC198" s="2">
        <f t="shared" si="57"/>
        <v>13</v>
      </c>
      <c r="AD198" s="2">
        <f t="shared" si="58"/>
        <v>0</v>
      </c>
      <c r="AE198" s="2">
        <f t="shared" si="59"/>
        <v>16</v>
      </c>
      <c r="AF198" s="2">
        <f t="shared" si="60"/>
        <v>10</v>
      </c>
      <c r="AG198" s="2">
        <f t="shared" si="61"/>
        <v>0</v>
      </c>
      <c r="AH198" s="2">
        <f t="shared" si="62"/>
        <v>0</v>
      </c>
      <c r="AI198" s="1">
        <f t="shared" si="63"/>
        <v>153.50400000000002</v>
      </c>
      <c r="AJ198" s="1">
        <f t="shared" si="64"/>
        <v>93.960000000000008</v>
      </c>
      <c r="AK198" s="1" t="str">
        <f t="shared" si="65"/>
        <v/>
      </c>
      <c r="AL198" s="1">
        <f t="shared" si="66"/>
        <v>240</v>
      </c>
      <c r="AM198" s="1">
        <f t="shared" si="51"/>
        <v>130</v>
      </c>
      <c r="AN198" s="5">
        <f t="shared" si="52"/>
        <v>0</v>
      </c>
      <c r="AO198" s="1" t="str">
        <f t="shared" si="67"/>
        <v/>
      </c>
    </row>
    <row r="199" spans="1:41">
      <c r="A199" t="s">
        <v>741</v>
      </c>
      <c r="B199" t="s">
        <v>667</v>
      </c>
      <c r="C199" t="s">
        <v>742</v>
      </c>
      <c r="D199">
        <v>566</v>
      </c>
      <c r="E199">
        <v>580</v>
      </c>
      <c r="F199">
        <v>0</v>
      </c>
      <c r="G199">
        <v>1</v>
      </c>
      <c r="J199">
        <v>1</v>
      </c>
      <c r="K199">
        <v>1</v>
      </c>
      <c r="L199" t="s">
        <v>741</v>
      </c>
      <c r="M199" t="s">
        <v>743</v>
      </c>
      <c r="N199" t="s">
        <v>671</v>
      </c>
      <c r="O199">
        <v>0</v>
      </c>
      <c r="P199" t="s">
        <v>734</v>
      </c>
      <c r="Q199" t="s">
        <v>134</v>
      </c>
      <c r="R199">
        <v>10695</v>
      </c>
      <c r="S199" t="s">
        <v>743</v>
      </c>
      <c r="U199" t="s">
        <v>135</v>
      </c>
      <c r="V199" t="s">
        <v>735</v>
      </c>
      <c r="W199">
        <v>12278442</v>
      </c>
      <c r="X199" t="s">
        <v>736</v>
      </c>
      <c r="Y199">
        <f t="shared" si="53"/>
        <v>0.32828000000000002</v>
      </c>
      <c r="Z199">
        <f t="shared" si="54"/>
        <v>2.2919999999999998</v>
      </c>
      <c r="AA199">
        <f t="shared" si="55"/>
        <v>1.1599999999999999</v>
      </c>
      <c r="AB199" s="2">
        <f t="shared" si="56"/>
        <v>19</v>
      </c>
      <c r="AC199" s="2">
        <f t="shared" si="57"/>
        <v>16</v>
      </c>
      <c r="AD199" s="2">
        <f t="shared" si="58"/>
        <v>0</v>
      </c>
      <c r="AE199" s="2">
        <f t="shared" si="59"/>
        <v>0</v>
      </c>
      <c r="AF199" s="2">
        <f t="shared" si="60"/>
        <v>13</v>
      </c>
      <c r="AG199" s="2">
        <f t="shared" si="61"/>
        <v>0</v>
      </c>
      <c r="AH199" s="2">
        <f t="shared" si="62"/>
        <v>0</v>
      </c>
      <c r="AI199" s="1">
        <f t="shared" si="63"/>
        <v>82.512</v>
      </c>
      <c r="AJ199" s="1">
        <f t="shared" si="64"/>
        <v>69.599999999999994</v>
      </c>
      <c r="AK199" s="1" t="str">
        <f t="shared" si="65"/>
        <v/>
      </c>
      <c r="AL199" s="1" t="str">
        <f t="shared" si="66"/>
        <v/>
      </c>
      <c r="AM199" s="1">
        <f t="shared" si="51"/>
        <v>130</v>
      </c>
      <c r="AN199" s="5">
        <f t="shared" si="52"/>
        <v>0</v>
      </c>
      <c r="AO199" s="1" t="str">
        <f t="shared" si="67"/>
        <v/>
      </c>
    </row>
    <row r="200" spans="1:41">
      <c r="A200" t="s">
        <v>744</v>
      </c>
      <c r="B200" t="s">
        <v>667</v>
      </c>
      <c r="C200" t="s">
        <v>745</v>
      </c>
      <c r="D200">
        <v>566</v>
      </c>
      <c r="E200">
        <v>563</v>
      </c>
      <c r="F200">
        <v>0</v>
      </c>
      <c r="G200">
        <v>1</v>
      </c>
      <c r="H200">
        <v>1</v>
      </c>
      <c r="L200" t="s">
        <v>746</v>
      </c>
      <c r="M200" t="s">
        <v>747</v>
      </c>
      <c r="N200" t="s">
        <v>671</v>
      </c>
      <c r="O200">
        <v>0</v>
      </c>
      <c r="P200" t="s">
        <v>734</v>
      </c>
      <c r="Q200" t="s">
        <v>134</v>
      </c>
      <c r="R200">
        <v>10695</v>
      </c>
      <c r="S200" t="s">
        <v>747</v>
      </c>
      <c r="U200" t="s">
        <v>135</v>
      </c>
      <c r="V200" t="s">
        <v>735</v>
      </c>
      <c r="W200">
        <v>12278439</v>
      </c>
      <c r="X200" t="s">
        <v>736</v>
      </c>
      <c r="Y200">
        <f t="shared" si="53"/>
        <v>0.318658</v>
      </c>
      <c r="Z200">
        <f t="shared" si="54"/>
        <v>2.258</v>
      </c>
      <c r="AA200">
        <f t="shared" si="55"/>
        <v>0.56599999999999995</v>
      </c>
      <c r="AB200" s="2">
        <f t="shared" si="56"/>
        <v>19</v>
      </c>
      <c r="AC200" s="2">
        <f t="shared" si="57"/>
        <v>16</v>
      </c>
      <c r="AD200" s="2">
        <f t="shared" si="58"/>
        <v>0</v>
      </c>
      <c r="AE200" s="2">
        <f t="shared" si="59"/>
        <v>0</v>
      </c>
      <c r="AF200" s="2">
        <f t="shared" si="60"/>
        <v>13</v>
      </c>
      <c r="AG200" s="2">
        <f t="shared" si="61"/>
        <v>0</v>
      </c>
      <c r="AH200" s="2">
        <f t="shared" si="62"/>
        <v>0</v>
      </c>
      <c r="AI200" s="1">
        <f t="shared" si="63"/>
        <v>81.287999999999997</v>
      </c>
      <c r="AJ200" s="1">
        <f t="shared" si="64"/>
        <v>33.959999999999994</v>
      </c>
      <c r="AK200" s="1" t="str">
        <f t="shared" si="65"/>
        <v/>
      </c>
      <c r="AL200" s="1" t="str">
        <f t="shared" si="66"/>
        <v/>
      </c>
      <c r="AM200" s="1">
        <f t="shared" si="51"/>
        <v>130</v>
      </c>
      <c r="AN200" s="5">
        <f t="shared" si="52"/>
        <v>0</v>
      </c>
      <c r="AO200" s="1" t="str">
        <f t="shared" si="67"/>
        <v/>
      </c>
    </row>
    <row r="201" spans="1:41">
      <c r="A201" t="s">
        <v>748</v>
      </c>
      <c r="B201" t="s">
        <v>667</v>
      </c>
      <c r="C201" t="s">
        <v>749</v>
      </c>
      <c r="D201">
        <v>566</v>
      </c>
      <c r="E201">
        <v>528</v>
      </c>
      <c r="F201">
        <v>0</v>
      </c>
      <c r="G201">
        <v>1</v>
      </c>
      <c r="H201">
        <v>1</v>
      </c>
      <c r="L201" t="s">
        <v>750</v>
      </c>
      <c r="M201" t="s">
        <v>751</v>
      </c>
      <c r="N201" t="s">
        <v>671</v>
      </c>
      <c r="O201">
        <v>0</v>
      </c>
      <c r="P201" t="s">
        <v>734</v>
      </c>
      <c r="Q201" t="s">
        <v>134</v>
      </c>
      <c r="R201">
        <v>10695</v>
      </c>
      <c r="S201" t="s">
        <v>751</v>
      </c>
      <c r="U201" t="s">
        <v>135</v>
      </c>
      <c r="V201" t="s">
        <v>735</v>
      </c>
      <c r="W201">
        <v>12278436</v>
      </c>
      <c r="X201" t="s">
        <v>736</v>
      </c>
      <c r="Y201">
        <f t="shared" si="53"/>
        <v>0.298848</v>
      </c>
      <c r="Z201">
        <f t="shared" si="54"/>
        <v>2.1880000000000002</v>
      </c>
      <c r="AA201">
        <f t="shared" si="55"/>
        <v>0.56599999999999995</v>
      </c>
      <c r="AB201" s="2">
        <f t="shared" si="56"/>
        <v>16</v>
      </c>
      <c r="AC201" s="2">
        <f t="shared" si="57"/>
        <v>13</v>
      </c>
      <c r="AD201" s="2">
        <f t="shared" si="58"/>
        <v>0</v>
      </c>
      <c r="AE201" s="2">
        <f t="shared" si="59"/>
        <v>0</v>
      </c>
      <c r="AF201" s="2">
        <f t="shared" si="60"/>
        <v>10</v>
      </c>
      <c r="AG201" s="2">
        <f t="shared" si="61"/>
        <v>0</v>
      </c>
      <c r="AH201" s="2">
        <f t="shared" si="62"/>
        <v>0</v>
      </c>
      <c r="AI201" s="1">
        <f t="shared" si="63"/>
        <v>78.768000000000001</v>
      </c>
      <c r="AJ201" s="1">
        <f t="shared" si="64"/>
        <v>33.959999999999994</v>
      </c>
      <c r="AK201" s="1" t="str">
        <f t="shared" si="65"/>
        <v/>
      </c>
      <c r="AL201" s="1" t="str">
        <f t="shared" si="66"/>
        <v/>
      </c>
      <c r="AM201" s="1">
        <f t="shared" si="51"/>
        <v>130</v>
      </c>
      <c r="AN201" s="5">
        <f t="shared" si="52"/>
        <v>0</v>
      </c>
      <c r="AO201" s="1" t="str">
        <f t="shared" si="67"/>
        <v/>
      </c>
    </row>
    <row r="202" spans="1:41">
      <c r="A202" t="s">
        <v>752</v>
      </c>
      <c r="B202" t="s">
        <v>667</v>
      </c>
      <c r="C202" t="s">
        <v>753</v>
      </c>
      <c r="D202">
        <v>566</v>
      </c>
      <c r="E202">
        <v>245</v>
      </c>
      <c r="F202">
        <v>0</v>
      </c>
      <c r="G202">
        <v>1</v>
      </c>
      <c r="H202">
        <v>1</v>
      </c>
      <c r="I202">
        <v>1</v>
      </c>
      <c r="L202" t="s">
        <v>754</v>
      </c>
      <c r="M202" t="s">
        <v>755</v>
      </c>
      <c r="N202" t="s">
        <v>671</v>
      </c>
      <c r="O202">
        <v>0</v>
      </c>
      <c r="P202" t="s">
        <v>734</v>
      </c>
      <c r="Q202" t="s">
        <v>134</v>
      </c>
      <c r="R202">
        <v>10695</v>
      </c>
      <c r="S202" t="s">
        <v>755</v>
      </c>
      <c r="U202" t="s">
        <v>135</v>
      </c>
      <c r="V202" t="s">
        <v>735</v>
      </c>
      <c r="W202">
        <v>12278457</v>
      </c>
      <c r="X202" t="s">
        <v>736</v>
      </c>
      <c r="Y202">
        <f t="shared" si="53"/>
        <v>0.13866999999999999</v>
      </c>
      <c r="Z202">
        <f t="shared" si="54"/>
        <v>1.6220000000000001</v>
      </c>
      <c r="AA202">
        <f t="shared" si="55"/>
        <v>1.1319999999999999</v>
      </c>
      <c r="AB202" s="2">
        <f t="shared" si="56"/>
        <v>16</v>
      </c>
      <c r="AC202" s="2">
        <f t="shared" si="57"/>
        <v>13</v>
      </c>
      <c r="AD202" s="2">
        <f t="shared" si="58"/>
        <v>0</v>
      </c>
      <c r="AE202" s="2">
        <f t="shared" si="59"/>
        <v>0</v>
      </c>
      <c r="AF202" s="2">
        <f t="shared" si="60"/>
        <v>10</v>
      </c>
      <c r="AG202" s="2">
        <f t="shared" si="61"/>
        <v>0</v>
      </c>
      <c r="AH202" s="2">
        <f t="shared" si="62"/>
        <v>0</v>
      </c>
      <c r="AI202" s="1">
        <f t="shared" si="63"/>
        <v>58.392000000000003</v>
      </c>
      <c r="AJ202" s="1">
        <f t="shared" si="64"/>
        <v>67.919999999999987</v>
      </c>
      <c r="AK202" s="1" t="str">
        <f t="shared" si="65"/>
        <v/>
      </c>
      <c r="AL202" s="1" t="str">
        <f t="shared" si="66"/>
        <v/>
      </c>
      <c r="AM202" s="1">
        <f t="shared" si="51"/>
        <v>130</v>
      </c>
      <c r="AN202" s="5">
        <f t="shared" si="52"/>
        <v>0</v>
      </c>
      <c r="AO202" s="1" t="str">
        <f t="shared" si="67"/>
        <v/>
      </c>
    </row>
    <row r="203" spans="1:41">
      <c r="A203" t="s">
        <v>756</v>
      </c>
      <c r="B203" t="s">
        <v>667</v>
      </c>
      <c r="C203" t="s">
        <v>757</v>
      </c>
      <c r="D203">
        <v>430</v>
      </c>
      <c r="E203">
        <v>527</v>
      </c>
      <c r="F203">
        <v>0</v>
      </c>
      <c r="G203">
        <v>2</v>
      </c>
      <c r="K203">
        <v>1</v>
      </c>
      <c r="L203" t="s">
        <v>756</v>
      </c>
      <c r="M203" t="s">
        <v>758</v>
      </c>
      <c r="N203" t="s">
        <v>671</v>
      </c>
      <c r="O203">
        <v>0</v>
      </c>
      <c r="P203" t="s">
        <v>734</v>
      </c>
      <c r="Q203" t="s">
        <v>134</v>
      </c>
      <c r="R203">
        <v>10695</v>
      </c>
      <c r="S203" t="s">
        <v>758</v>
      </c>
      <c r="U203" t="s">
        <v>135</v>
      </c>
      <c r="V203" t="s">
        <v>735</v>
      </c>
      <c r="W203">
        <v>12278433</v>
      </c>
      <c r="X203" t="s">
        <v>736</v>
      </c>
      <c r="Y203">
        <f t="shared" si="53"/>
        <v>0.45322000000000001</v>
      </c>
      <c r="Z203">
        <f t="shared" si="54"/>
        <v>3.8279999999999998</v>
      </c>
      <c r="AA203">
        <f t="shared" si="55"/>
        <v>1.054</v>
      </c>
      <c r="AB203" s="2">
        <f t="shared" si="56"/>
        <v>13</v>
      </c>
      <c r="AC203" s="2">
        <f t="shared" si="57"/>
        <v>10</v>
      </c>
      <c r="AD203" s="2">
        <f t="shared" si="58"/>
        <v>0</v>
      </c>
      <c r="AE203" s="2">
        <f t="shared" si="59"/>
        <v>0</v>
      </c>
      <c r="AF203" s="2">
        <f t="shared" si="60"/>
        <v>0</v>
      </c>
      <c r="AG203" s="2">
        <f t="shared" si="61"/>
        <v>0</v>
      </c>
      <c r="AH203" s="2">
        <f t="shared" si="62"/>
        <v>0</v>
      </c>
      <c r="AI203" s="1">
        <f t="shared" si="63"/>
        <v>137.80799999999999</v>
      </c>
      <c r="AJ203" s="1">
        <f t="shared" si="64"/>
        <v>63.24</v>
      </c>
      <c r="AK203" s="1" t="str">
        <f t="shared" si="65"/>
        <v/>
      </c>
      <c r="AL203" s="1" t="str">
        <f t="shared" si="66"/>
        <v/>
      </c>
      <c r="AM203" s="1" t="str">
        <f t="shared" si="51"/>
        <v/>
      </c>
      <c r="AN203" s="5">
        <f t="shared" si="52"/>
        <v>0</v>
      </c>
      <c r="AO203" s="1" t="str">
        <f t="shared" si="67"/>
        <v/>
      </c>
    </row>
    <row r="204" spans="1:41">
      <c r="A204" t="s">
        <v>759</v>
      </c>
      <c r="B204" t="s">
        <v>667</v>
      </c>
      <c r="C204" t="s">
        <v>760</v>
      </c>
      <c r="D204">
        <v>1598</v>
      </c>
      <c r="E204">
        <v>600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1</v>
      </c>
      <c r="L204" t="s">
        <v>761</v>
      </c>
      <c r="M204" t="s">
        <v>762</v>
      </c>
      <c r="N204" t="s">
        <v>671</v>
      </c>
      <c r="O204">
        <v>0</v>
      </c>
      <c r="P204" t="s">
        <v>734</v>
      </c>
      <c r="Q204" t="s">
        <v>134</v>
      </c>
      <c r="R204">
        <v>10695</v>
      </c>
      <c r="S204" t="s">
        <v>762</v>
      </c>
      <c r="U204" t="s">
        <v>135</v>
      </c>
      <c r="V204" t="s">
        <v>735</v>
      </c>
      <c r="W204">
        <v>12278454</v>
      </c>
      <c r="X204" t="s">
        <v>736</v>
      </c>
      <c r="Y204">
        <f t="shared" si="53"/>
        <v>0.95879999999999999</v>
      </c>
      <c r="Z204">
        <f t="shared" si="54"/>
        <v>4.3959999999999999</v>
      </c>
      <c r="AA204">
        <f t="shared" si="55"/>
        <v>4.3959999999999999</v>
      </c>
      <c r="AB204" s="2">
        <f t="shared" si="56"/>
        <v>16</v>
      </c>
      <c r="AC204" s="2">
        <f t="shared" si="57"/>
        <v>10</v>
      </c>
      <c r="AD204" s="2">
        <f t="shared" si="58"/>
        <v>0</v>
      </c>
      <c r="AE204" s="2">
        <f t="shared" si="59"/>
        <v>13</v>
      </c>
      <c r="AF204" s="2">
        <f t="shared" si="60"/>
        <v>0</v>
      </c>
      <c r="AG204" s="2">
        <f t="shared" si="61"/>
        <v>0</v>
      </c>
      <c r="AH204" s="2">
        <f t="shared" si="62"/>
        <v>0</v>
      </c>
      <c r="AI204" s="1">
        <f t="shared" si="63"/>
        <v>158.256</v>
      </c>
      <c r="AJ204" s="1">
        <f t="shared" si="64"/>
        <v>263.76</v>
      </c>
      <c r="AK204" s="1" t="str">
        <f t="shared" si="65"/>
        <v/>
      </c>
      <c r="AL204" s="1">
        <f t="shared" si="66"/>
        <v>240</v>
      </c>
      <c r="AM204" s="1" t="str">
        <f t="shared" si="51"/>
        <v/>
      </c>
      <c r="AN204" s="5">
        <f t="shared" si="52"/>
        <v>0</v>
      </c>
      <c r="AO204" s="1" t="str">
        <f t="shared" si="67"/>
        <v/>
      </c>
    </row>
    <row r="205" spans="1:41">
      <c r="A205" t="s">
        <v>763</v>
      </c>
      <c r="B205" t="s">
        <v>667</v>
      </c>
      <c r="C205" t="s">
        <v>764</v>
      </c>
      <c r="D205">
        <v>227</v>
      </c>
      <c r="E205">
        <v>566</v>
      </c>
      <c r="F205">
        <v>0</v>
      </c>
      <c r="G205">
        <v>1</v>
      </c>
      <c r="H205">
        <v>1</v>
      </c>
      <c r="L205" t="s">
        <v>765</v>
      </c>
      <c r="M205" t="s">
        <v>766</v>
      </c>
      <c r="N205" t="s">
        <v>671</v>
      </c>
      <c r="O205">
        <v>0</v>
      </c>
      <c r="P205" t="s">
        <v>734</v>
      </c>
      <c r="Q205" t="s">
        <v>134</v>
      </c>
      <c r="R205">
        <v>10695</v>
      </c>
      <c r="S205" t="s">
        <v>766</v>
      </c>
      <c r="U205" t="s">
        <v>135</v>
      </c>
      <c r="V205" t="s">
        <v>735</v>
      </c>
      <c r="W205">
        <v>12278451</v>
      </c>
      <c r="X205" t="s">
        <v>736</v>
      </c>
      <c r="Y205">
        <f t="shared" si="53"/>
        <v>0.12848200000000001</v>
      </c>
      <c r="Z205">
        <f t="shared" si="54"/>
        <v>1.5860000000000001</v>
      </c>
      <c r="AA205">
        <f t="shared" si="55"/>
        <v>0.22700000000000001</v>
      </c>
      <c r="AB205" s="2">
        <f t="shared" si="56"/>
        <v>16</v>
      </c>
      <c r="AC205" s="2">
        <f t="shared" si="57"/>
        <v>13</v>
      </c>
      <c r="AD205" s="2">
        <f t="shared" si="58"/>
        <v>0</v>
      </c>
      <c r="AE205" s="2">
        <f t="shared" si="59"/>
        <v>0</v>
      </c>
      <c r="AF205" s="2">
        <f t="shared" si="60"/>
        <v>10</v>
      </c>
      <c r="AG205" s="2">
        <f t="shared" si="61"/>
        <v>0</v>
      </c>
      <c r="AH205" s="2">
        <f t="shared" si="62"/>
        <v>0</v>
      </c>
      <c r="AI205" s="1">
        <f t="shared" si="63"/>
        <v>57.096000000000004</v>
      </c>
      <c r="AJ205" s="1">
        <f t="shared" si="64"/>
        <v>13.620000000000001</v>
      </c>
      <c r="AK205" s="1" t="str">
        <f t="shared" si="65"/>
        <v/>
      </c>
      <c r="AL205" s="1" t="str">
        <f t="shared" si="66"/>
        <v/>
      </c>
      <c r="AM205" s="1">
        <f t="shared" si="51"/>
        <v>130</v>
      </c>
      <c r="AN205" s="5">
        <f t="shared" si="52"/>
        <v>0</v>
      </c>
      <c r="AO205" s="1" t="str">
        <f t="shared" si="67"/>
        <v/>
      </c>
    </row>
    <row r="206" spans="1:41">
      <c r="A206" t="s">
        <v>767</v>
      </c>
      <c r="B206" t="s">
        <v>667</v>
      </c>
      <c r="C206" t="s">
        <v>768</v>
      </c>
      <c r="D206">
        <v>453</v>
      </c>
      <c r="E206">
        <v>298</v>
      </c>
      <c r="F206">
        <v>0</v>
      </c>
      <c r="G206">
        <v>2</v>
      </c>
      <c r="H206">
        <v>1</v>
      </c>
      <c r="I206">
        <v>1</v>
      </c>
      <c r="J206">
        <v>1</v>
      </c>
      <c r="K206">
        <v>1</v>
      </c>
      <c r="L206" t="s">
        <v>769</v>
      </c>
      <c r="M206" t="s">
        <v>770</v>
      </c>
      <c r="N206" t="s">
        <v>671</v>
      </c>
      <c r="O206">
        <v>0</v>
      </c>
      <c r="P206" t="s">
        <v>133</v>
      </c>
      <c r="Q206" t="s">
        <v>134</v>
      </c>
      <c r="R206">
        <v>10695</v>
      </c>
      <c r="S206" t="s">
        <v>770</v>
      </c>
      <c r="U206" t="s">
        <v>135</v>
      </c>
      <c r="V206" t="s">
        <v>136</v>
      </c>
      <c r="W206">
        <v>12278890</v>
      </c>
      <c r="X206" t="s">
        <v>137</v>
      </c>
      <c r="Y206">
        <f t="shared" si="53"/>
        <v>0.26998800000000001</v>
      </c>
      <c r="Z206">
        <f t="shared" si="54"/>
        <v>3.004</v>
      </c>
      <c r="AA206">
        <f t="shared" si="55"/>
        <v>3.004</v>
      </c>
      <c r="AB206" s="2">
        <f t="shared" si="56"/>
        <v>19</v>
      </c>
      <c r="AC206" s="2">
        <f t="shared" si="57"/>
        <v>13</v>
      </c>
      <c r="AD206" s="2">
        <f t="shared" si="58"/>
        <v>0</v>
      </c>
      <c r="AE206" s="2">
        <f t="shared" si="59"/>
        <v>0</v>
      </c>
      <c r="AF206" s="2">
        <f t="shared" si="60"/>
        <v>10</v>
      </c>
      <c r="AG206" s="2">
        <f t="shared" si="61"/>
        <v>0</v>
      </c>
      <c r="AH206" s="2">
        <f t="shared" si="62"/>
        <v>0</v>
      </c>
      <c r="AI206" s="1">
        <f t="shared" si="63"/>
        <v>108.14400000000001</v>
      </c>
      <c r="AJ206" s="1">
        <f t="shared" si="64"/>
        <v>180.24</v>
      </c>
      <c r="AK206" s="1" t="str">
        <f t="shared" si="65"/>
        <v/>
      </c>
      <c r="AL206" s="1" t="str">
        <f t="shared" si="66"/>
        <v/>
      </c>
      <c r="AM206" s="1">
        <f t="shared" si="51"/>
        <v>260</v>
      </c>
      <c r="AN206" s="5">
        <f t="shared" si="52"/>
        <v>0</v>
      </c>
      <c r="AO206" s="1" t="str">
        <f t="shared" si="67"/>
        <v/>
      </c>
    </row>
    <row r="207" spans="1:41">
      <c r="A207" t="s">
        <v>771</v>
      </c>
      <c r="B207" t="s">
        <v>667</v>
      </c>
      <c r="C207" t="s">
        <v>772</v>
      </c>
      <c r="D207">
        <v>453</v>
      </c>
      <c r="E207">
        <v>218</v>
      </c>
      <c r="F207">
        <v>0</v>
      </c>
      <c r="G207">
        <v>2</v>
      </c>
      <c r="H207">
        <v>1</v>
      </c>
      <c r="I207">
        <v>1</v>
      </c>
      <c r="J207">
        <v>1</v>
      </c>
      <c r="K207">
        <v>1</v>
      </c>
      <c r="L207" t="s">
        <v>773</v>
      </c>
      <c r="M207" t="s">
        <v>774</v>
      </c>
      <c r="N207" t="s">
        <v>671</v>
      </c>
      <c r="O207">
        <v>0</v>
      </c>
      <c r="P207" t="s">
        <v>133</v>
      </c>
      <c r="Q207" t="s">
        <v>134</v>
      </c>
      <c r="R207">
        <v>10695</v>
      </c>
      <c r="S207" t="s">
        <v>774</v>
      </c>
      <c r="U207" t="s">
        <v>135</v>
      </c>
      <c r="V207" t="s">
        <v>136</v>
      </c>
      <c r="W207">
        <v>12278893</v>
      </c>
      <c r="X207" t="s">
        <v>137</v>
      </c>
      <c r="Y207">
        <f t="shared" si="53"/>
        <v>0.19750799999999999</v>
      </c>
      <c r="Z207">
        <f t="shared" si="54"/>
        <v>2.6840000000000002</v>
      </c>
      <c r="AA207">
        <f t="shared" si="55"/>
        <v>2.6840000000000002</v>
      </c>
      <c r="AB207" s="2">
        <f t="shared" si="56"/>
        <v>19</v>
      </c>
      <c r="AC207" s="2">
        <f t="shared" si="57"/>
        <v>13</v>
      </c>
      <c r="AD207" s="2">
        <f t="shared" si="58"/>
        <v>0</v>
      </c>
      <c r="AE207" s="2">
        <f t="shared" si="59"/>
        <v>0</v>
      </c>
      <c r="AF207" s="2">
        <f t="shared" si="60"/>
        <v>10</v>
      </c>
      <c r="AG207" s="2">
        <f t="shared" si="61"/>
        <v>0</v>
      </c>
      <c r="AH207" s="2">
        <f t="shared" si="62"/>
        <v>0</v>
      </c>
      <c r="AI207" s="1">
        <f t="shared" si="63"/>
        <v>96.624000000000009</v>
      </c>
      <c r="AJ207" s="1">
        <f t="shared" si="64"/>
        <v>161.04000000000002</v>
      </c>
      <c r="AK207" s="1" t="str">
        <f t="shared" si="65"/>
        <v/>
      </c>
      <c r="AL207" s="1" t="str">
        <f t="shared" si="66"/>
        <v/>
      </c>
      <c r="AM207" s="1">
        <f t="shared" si="51"/>
        <v>260</v>
      </c>
      <c r="AN207" s="5">
        <f t="shared" si="52"/>
        <v>0</v>
      </c>
      <c r="AO207" s="1" t="str">
        <f t="shared" si="67"/>
        <v/>
      </c>
    </row>
    <row r="208" spans="1:41">
      <c r="A208" t="s">
        <v>775</v>
      </c>
      <c r="B208" t="s">
        <v>667</v>
      </c>
      <c r="C208" t="s">
        <v>776</v>
      </c>
      <c r="D208">
        <v>453</v>
      </c>
      <c r="E208">
        <v>166</v>
      </c>
      <c r="F208">
        <v>0</v>
      </c>
      <c r="G208">
        <v>2</v>
      </c>
      <c r="H208">
        <v>1</v>
      </c>
      <c r="I208">
        <v>1</v>
      </c>
      <c r="J208">
        <v>1</v>
      </c>
      <c r="K208">
        <v>1</v>
      </c>
      <c r="L208" t="s">
        <v>777</v>
      </c>
      <c r="M208" t="s">
        <v>778</v>
      </c>
      <c r="N208" t="s">
        <v>671</v>
      </c>
      <c r="O208">
        <v>0</v>
      </c>
      <c r="P208" t="s">
        <v>133</v>
      </c>
      <c r="Q208" t="s">
        <v>134</v>
      </c>
      <c r="R208">
        <v>10695</v>
      </c>
      <c r="S208" t="s">
        <v>778</v>
      </c>
      <c r="U208" t="s">
        <v>135</v>
      </c>
      <c r="V208" t="s">
        <v>136</v>
      </c>
      <c r="W208">
        <v>12278896</v>
      </c>
      <c r="X208" t="s">
        <v>137</v>
      </c>
      <c r="Y208">
        <f t="shared" si="53"/>
        <v>0.150396</v>
      </c>
      <c r="Z208">
        <f t="shared" si="54"/>
        <v>2.476</v>
      </c>
      <c r="AA208">
        <f t="shared" si="55"/>
        <v>2.476</v>
      </c>
      <c r="AB208" s="2">
        <f t="shared" si="56"/>
        <v>19</v>
      </c>
      <c r="AC208" s="2">
        <f t="shared" si="57"/>
        <v>13</v>
      </c>
      <c r="AD208" s="2">
        <f t="shared" si="58"/>
        <v>0</v>
      </c>
      <c r="AE208" s="2">
        <f t="shared" si="59"/>
        <v>0</v>
      </c>
      <c r="AF208" s="2">
        <f t="shared" si="60"/>
        <v>10</v>
      </c>
      <c r="AG208" s="2">
        <f t="shared" si="61"/>
        <v>0</v>
      </c>
      <c r="AH208" s="2">
        <f t="shared" si="62"/>
        <v>0</v>
      </c>
      <c r="AI208" s="1">
        <f t="shared" si="63"/>
        <v>89.135999999999996</v>
      </c>
      <c r="AJ208" s="1">
        <f t="shared" si="64"/>
        <v>148.56</v>
      </c>
      <c r="AK208" s="1" t="str">
        <f t="shared" si="65"/>
        <v/>
      </c>
      <c r="AL208" s="1" t="str">
        <f t="shared" si="66"/>
        <v/>
      </c>
      <c r="AM208" s="1">
        <f t="shared" si="51"/>
        <v>260</v>
      </c>
      <c r="AN208" s="5">
        <f t="shared" si="52"/>
        <v>0</v>
      </c>
      <c r="AO208" s="1" t="str">
        <f t="shared" si="67"/>
        <v/>
      </c>
    </row>
    <row r="209" spans="1:41">
      <c r="A209" t="s">
        <v>779</v>
      </c>
      <c r="B209" t="s">
        <v>667</v>
      </c>
      <c r="C209" t="s">
        <v>780</v>
      </c>
      <c r="D209">
        <v>398</v>
      </c>
      <c r="E209">
        <v>276</v>
      </c>
      <c r="F209">
        <v>0</v>
      </c>
      <c r="G209">
        <v>2</v>
      </c>
      <c r="H209">
        <v>1</v>
      </c>
      <c r="J209">
        <v>1</v>
      </c>
      <c r="K209">
        <v>1</v>
      </c>
      <c r="L209" t="s">
        <v>781</v>
      </c>
      <c r="M209" t="s">
        <v>782</v>
      </c>
      <c r="N209" t="s">
        <v>671</v>
      </c>
      <c r="O209">
        <v>0</v>
      </c>
      <c r="P209" t="s">
        <v>133</v>
      </c>
      <c r="Q209" t="s">
        <v>134</v>
      </c>
      <c r="R209">
        <v>10695</v>
      </c>
      <c r="S209" t="s">
        <v>782</v>
      </c>
      <c r="U209" t="s">
        <v>135</v>
      </c>
      <c r="V209" t="s">
        <v>136</v>
      </c>
      <c r="W209">
        <v>12278885</v>
      </c>
      <c r="X209" t="s">
        <v>137</v>
      </c>
      <c r="Y209">
        <f t="shared" si="53"/>
        <v>0.219696</v>
      </c>
      <c r="Z209">
        <f t="shared" si="54"/>
        <v>2.6960000000000002</v>
      </c>
      <c r="AA209">
        <f t="shared" si="55"/>
        <v>1.9</v>
      </c>
      <c r="AB209" s="2">
        <f t="shared" si="56"/>
        <v>16</v>
      </c>
      <c r="AC209" s="2">
        <f t="shared" si="57"/>
        <v>13</v>
      </c>
      <c r="AD209" s="2">
        <f t="shared" si="58"/>
        <v>0</v>
      </c>
      <c r="AE209" s="2">
        <f t="shared" si="59"/>
        <v>0</v>
      </c>
      <c r="AF209" s="2">
        <f t="shared" si="60"/>
        <v>10</v>
      </c>
      <c r="AG209" s="2">
        <f t="shared" si="61"/>
        <v>0</v>
      </c>
      <c r="AH209" s="2">
        <f t="shared" si="62"/>
        <v>0</v>
      </c>
      <c r="AI209" s="1">
        <f t="shared" si="63"/>
        <v>97.056000000000012</v>
      </c>
      <c r="AJ209" s="1">
        <f t="shared" si="64"/>
        <v>114</v>
      </c>
      <c r="AK209" s="1" t="str">
        <f t="shared" si="65"/>
        <v/>
      </c>
      <c r="AL209" s="1" t="str">
        <f t="shared" si="66"/>
        <v/>
      </c>
      <c r="AM209" s="1">
        <f t="shared" si="51"/>
        <v>260</v>
      </c>
      <c r="AN209" s="5">
        <f t="shared" si="52"/>
        <v>0</v>
      </c>
      <c r="AO209" s="1" t="str">
        <f t="shared" si="67"/>
        <v/>
      </c>
    </row>
    <row r="210" spans="1:41">
      <c r="A210" t="s">
        <v>783</v>
      </c>
      <c r="B210" t="s">
        <v>667</v>
      </c>
      <c r="C210" t="s">
        <v>784</v>
      </c>
      <c r="D210">
        <v>896</v>
      </c>
      <c r="E210">
        <v>300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 t="s">
        <v>785</v>
      </c>
      <c r="M210" t="s">
        <v>786</v>
      </c>
      <c r="N210" t="s">
        <v>671</v>
      </c>
      <c r="O210">
        <v>0</v>
      </c>
      <c r="P210" t="s">
        <v>360</v>
      </c>
      <c r="Q210" t="s">
        <v>134</v>
      </c>
      <c r="R210">
        <v>10695</v>
      </c>
      <c r="S210" t="s">
        <v>786</v>
      </c>
      <c r="U210" t="s">
        <v>361</v>
      </c>
      <c r="V210" t="s">
        <v>362</v>
      </c>
      <c r="W210">
        <v>12278716</v>
      </c>
      <c r="X210" t="s">
        <v>787</v>
      </c>
      <c r="Y210">
        <f t="shared" si="53"/>
        <v>0.26879999999999998</v>
      </c>
      <c r="Z210">
        <f t="shared" si="54"/>
        <v>2.3919999999999999</v>
      </c>
      <c r="AA210">
        <f t="shared" si="55"/>
        <v>2.3919999999999999</v>
      </c>
      <c r="AB210" s="2">
        <f t="shared" si="56"/>
        <v>22</v>
      </c>
      <c r="AC210" s="2">
        <f t="shared" si="57"/>
        <v>16</v>
      </c>
      <c r="AD210" s="2">
        <f t="shared" si="58"/>
        <v>0</v>
      </c>
      <c r="AE210" s="2">
        <f t="shared" si="59"/>
        <v>19</v>
      </c>
      <c r="AF210" s="2">
        <f t="shared" si="60"/>
        <v>0</v>
      </c>
      <c r="AG210" s="2">
        <f t="shared" si="61"/>
        <v>0</v>
      </c>
      <c r="AH210" s="2">
        <f t="shared" si="62"/>
        <v>0</v>
      </c>
      <c r="AI210" s="1">
        <f t="shared" si="63"/>
        <v>86.111999999999995</v>
      </c>
      <c r="AJ210" s="1">
        <f t="shared" si="64"/>
        <v>143.51999999999998</v>
      </c>
      <c r="AK210" s="1" t="str">
        <f t="shared" si="65"/>
        <v/>
      </c>
      <c r="AL210" s="1">
        <f t="shared" si="66"/>
        <v>240</v>
      </c>
      <c r="AM210" s="1" t="str">
        <f t="shared" si="51"/>
        <v/>
      </c>
      <c r="AN210" s="5">
        <f t="shared" si="52"/>
        <v>0</v>
      </c>
      <c r="AO210" s="1" t="str">
        <f t="shared" si="67"/>
        <v/>
      </c>
    </row>
    <row r="211" spans="1:41">
      <c r="A211" t="s">
        <v>788</v>
      </c>
      <c r="B211" t="s">
        <v>667</v>
      </c>
      <c r="C211" t="s">
        <v>789</v>
      </c>
      <c r="D211">
        <v>1496</v>
      </c>
      <c r="E211">
        <v>346</v>
      </c>
      <c r="F211">
        <v>0</v>
      </c>
      <c r="G211">
        <v>1</v>
      </c>
      <c r="H211">
        <v>1</v>
      </c>
      <c r="L211" t="s">
        <v>790</v>
      </c>
      <c r="M211" t="s">
        <v>791</v>
      </c>
      <c r="N211" t="s">
        <v>671</v>
      </c>
      <c r="O211">
        <v>0</v>
      </c>
      <c r="P211" t="s">
        <v>133</v>
      </c>
      <c r="Q211" t="s">
        <v>134</v>
      </c>
      <c r="R211">
        <v>10695</v>
      </c>
      <c r="S211" t="s">
        <v>791</v>
      </c>
      <c r="U211" t="s">
        <v>135</v>
      </c>
      <c r="V211" t="s">
        <v>136</v>
      </c>
      <c r="W211">
        <v>12278829</v>
      </c>
      <c r="X211" t="s">
        <v>792</v>
      </c>
      <c r="Y211">
        <f t="shared" si="53"/>
        <v>0.51761599999999997</v>
      </c>
      <c r="Z211">
        <f t="shared" si="54"/>
        <v>3.6840000000000002</v>
      </c>
      <c r="AA211">
        <f t="shared" si="55"/>
        <v>1.496</v>
      </c>
      <c r="AB211" s="2">
        <f t="shared" si="56"/>
        <v>22</v>
      </c>
      <c r="AC211" s="2">
        <f t="shared" si="57"/>
        <v>10</v>
      </c>
      <c r="AD211" s="2">
        <f t="shared" si="58"/>
        <v>16</v>
      </c>
      <c r="AE211" s="2">
        <f t="shared" si="59"/>
        <v>19</v>
      </c>
      <c r="AF211" s="2">
        <f t="shared" si="60"/>
        <v>0</v>
      </c>
      <c r="AG211" s="2">
        <f t="shared" si="61"/>
        <v>0</v>
      </c>
      <c r="AH211" s="2">
        <f t="shared" si="62"/>
        <v>0</v>
      </c>
      <c r="AI211" s="1">
        <f t="shared" si="63"/>
        <v>132.624</v>
      </c>
      <c r="AJ211" s="1">
        <f t="shared" si="64"/>
        <v>89.76</v>
      </c>
      <c r="AK211" s="1">
        <f t="shared" si="65"/>
        <v>220</v>
      </c>
      <c r="AL211" s="1">
        <f t="shared" si="66"/>
        <v>240</v>
      </c>
      <c r="AM211" s="3" t="str">
        <f t="shared" si="51"/>
        <v/>
      </c>
      <c r="AN211" s="5">
        <f t="shared" si="52"/>
        <v>0</v>
      </c>
      <c r="AO211" s="1" t="str">
        <f t="shared" si="67"/>
        <v/>
      </c>
    </row>
    <row r="212" spans="1:41">
      <c r="A212" t="s">
        <v>793</v>
      </c>
      <c r="B212" t="s">
        <v>667</v>
      </c>
      <c r="C212" t="s">
        <v>794</v>
      </c>
      <c r="D212">
        <v>620</v>
      </c>
      <c r="E212">
        <v>103</v>
      </c>
      <c r="F212">
        <v>0</v>
      </c>
      <c r="G212">
        <v>1</v>
      </c>
      <c r="L212" t="s">
        <v>795</v>
      </c>
      <c r="M212" t="s">
        <v>796</v>
      </c>
      <c r="N212" t="s">
        <v>671</v>
      </c>
      <c r="O212">
        <v>0</v>
      </c>
      <c r="P212" t="s">
        <v>360</v>
      </c>
      <c r="Q212" t="s">
        <v>134</v>
      </c>
      <c r="R212">
        <v>10695</v>
      </c>
      <c r="S212" t="s">
        <v>796</v>
      </c>
      <c r="U212" t="s">
        <v>361</v>
      </c>
      <c r="V212" t="s">
        <v>362</v>
      </c>
      <c r="W212">
        <v>12278566</v>
      </c>
      <c r="X212" t="s">
        <v>797</v>
      </c>
      <c r="Y212">
        <f t="shared" si="53"/>
        <v>6.386E-2</v>
      </c>
      <c r="Z212">
        <f t="shared" si="54"/>
        <v>1.446</v>
      </c>
      <c r="AA212">
        <f t="shared" si="55"/>
        <v>0</v>
      </c>
      <c r="AB212" s="2">
        <f t="shared" si="56"/>
        <v>16</v>
      </c>
      <c r="AC212" s="2">
        <f t="shared" si="57"/>
        <v>0</v>
      </c>
      <c r="AD212" s="2">
        <f t="shared" si="58"/>
        <v>0</v>
      </c>
      <c r="AE212" s="2">
        <f t="shared" si="59"/>
        <v>0</v>
      </c>
      <c r="AF212" s="2">
        <f t="shared" si="60"/>
        <v>13</v>
      </c>
      <c r="AG212" s="2">
        <f t="shared" si="61"/>
        <v>0</v>
      </c>
      <c r="AH212" s="2">
        <f t="shared" si="62"/>
        <v>0</v>
      </c>
      <c r="AI212" s="1">
        <f t="shared" si="63"/>
        <v>52.055999999999997</v>
      </c>
      <c r="AJ212" s="1">
        <f t="shared" si="64"/>
        <v>0</v>
      </c>
      <c r="AK212" s="1" t="str">
        <f t="shared" si="65"/>
        <v/>
      </c>
      <c r="AL212" s="1" t="str">
        <f t="shared" si="66"/>
        <v/>
      </c>
      <c r="AM212" s="1">
        <f t="shared" si="51"/>
        <v>130</v>
      </c>
      <c r="AN212" s="5">
        <f t="shared" si="52"/>
        <v>0</v>
      </c>
      <c r="AO212" s="1" t="str">
        <f t="shared" si="67"/>
        <v/>
      </c>
    </row>
    <row r="213" spans="1:41">
      <c r="A213" t="s">
        <v>798</v>
      </c>
      <c r="B213" t="s">
        <v>667</v>
      </c>
      <c r="C213" t="s">
        <v>799</v>
      </c>
      <c r="D213">
        <v>1498</v>
      </c>
      <c r="E213">
        <v>750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 t="s">
        <v>800</v>
      </c>
      <c r="M213" t="s">
        <v>79</v>
      </c>
      <c r="N213" t="s">
        <v>671</v>
      </c>
      <c r="O213">
        <v>0</v>
      </c>
      <c r="P213" t="s">
        <v>734</v>
      </c>
      <c r="Q213" t="s">
        <v>134</v>
      </c>
      <c r="R213">
        <v>10695</v>
      </c>
      <c r="S213" t="s">
        <v>79</v>
      </c>
      <c r="U213" t="s">
        <v>135</v>
      </c>
      <c r="V213" t="s">
        <v>735</v>
      </c>
      <c r="W213">
        <v>12278553</v>
      </c>
      <c r="X213" t="s">
        <v>801</v>
      </c>
      <c r="Y213">
        <f t="shared" si="53"/>
        <v>1.1234999999999999</v>
      </c>
      <c r="Z213">
        <f t="shared" si="54"/>
        <v>4.4960000000000004</v>
      </c>
      <c r="AA213">
        <f t="shared" si="55"/>
        <v>4.4960000000000004</v>
      </c>
      <c r="AB213" s="2">
        <f t="shared" si="56"/>
        <v>16</v>
      </c>
      <c r="AC213" s="2">
        <f t="shared" si="57"/>
        <v>13</v>
      </c>
      <c r="AD213" s="2">
        <f t="shared" si="58"/>
        <v>0</v>
      </c>
      <c r="AE213" s="2">
        <f t="shared" si="59"/>
        <v>0</v>
      </c>
      <c r="AF213" s="2">
        <f t="shared" si="60"/>
        <v>10</v>
      </c>
      <c r="AG213" s="2">
        <f t="shared" si="61"/>
        <v>0</v>
      </c>
      <c r="AH213" s="2">
        <f t="shared" si="62"/>
        <v>0</v>
      </c>
      <c r="AI213" s="1">
        <f t="shared" si="63"/>
        <v>161.85600000000002</v>
      </c>
      <c r="AJ213" s="1">
        <f t="shared" si="64"/>
        <v>269.76000000000005</v>
      </c>
      <c r="AK213" s="1" t="str">
        <f t="shared" si="65"/>
        <v/>
      </c>
      <c r="AL213" s="1" t="str">
        <f t="shared" si="66"/>
        <v/>
      </c>
      <c r="AM213" s="1">
        <f t="shared" si="51"/>
        <v>130</v>
      </c>
      <c r="AN213" s="5">
        <f t="shared" si="52"/>
        <v>0</v>
      </c>
      <c r="AO213" s="1" t="str">
        <f t="shared" si="67"/>
        <v/>
      </c>
    </row>
    <row r="214" spans="1:41">
      <c r="A214" t="s">
        <v>802</v>
      </c>
      <c r="B214" t="s">
        <v>667</v>
      </c>
      <c r="C214" t="s">
        <v>803</v>
      </c>
      <c r="D214">
        <v>1498</v>
      </c>
      <c r="E214">
        <v>598</v>
      </c>
      <c r="F214">
        <v>0</v>
      </c>
      <c r="G214">
        <v>1</v>
      </c>
      <c r="H214">
        <v>1</v>
      </c>
      <c r="I214">
        <v>1</v>
      </c>
      <c r="J214">
        <v>1</v>
      </c>
      <c r="K214">
        <v>1</v>
      </c>
      <c r="L214" t="s">
        <v>804</v>
      </c>
      <c r="M214" t="s">
        <v>805</v>
      </c>
      <c r="N214" t="s">
        <v>671</v>
      </c>
      <c r="O214">
        <v>0</v>
      </c>
      <c r="P214" t="s">
        <v>806</v>
      </c>
      <c r="Q214" t="s">
        <v>134</v>
      </c>
      <c r="R214">
        <v>10695</v>
      </c>
      <c r="S214" t="s">
        <v>805</v>
      </c>
      <c r="U214" t="s">
        <v>105</v>
      </c>
      <c r="V214" t="s">
        <v>807</v>
      </c>
      <c r="W214">
        <v>12278820</v>
      </c>
      <c r="X214" t="s">
        <v>808</v>
      </c>
      <c r="Y214">
        <f t="shared" si="53"/>
        <v>0.89580400000000004</v>
      </c>
      <c r="Z214">
        <f t="shared" si="54"/>
        <v>4.1920000000000002</v>
      </c>
      <c r="AA214">
        <f t="shared" si="55"/>
        <v>4.1920000000000002</v>
      </c>
      <c r="AB214" s="2">
        <f t="shared" si="56"/>
        <v>15</v>
      </c>
      <c r="AC214" s="2">
        <f t="shared" si="57"/>
        <v>12</v>
      </c>
      <c r="AD214" s="2">
        <f t="shared" si="58"/>
        <v>0</v>
      </c>
      <c r="AE214" s="2">
        <f t="shared" si="59"/>
        <v>0</v>
      </c>
      <c r="AF214" s="2">
        <f t="shared" si="60"/>
        <v>9</v>
      </c>
      <c r="AG214" s="2">
        <f t="shared" si="61"/>
        <v>0</v>
      </c>
      <c r="AH214" s="2">
        <f t="shared" si="62"/>
        <v>0</v>
      </c>
      <c r="AI214" s="1">
        <f t="shared" si="63"/>
        <v>150.91200000000001</v>
      </c>
      <c r="AJ214" s="1">
        <f t="shared" si="64"/>
        <v>251.52</v>
      </c>
      <c r="AK214" s="1" t="str">
        <f t="shared" si="65"/>
        <v/>
      </c>
      <c r="AL214" s="1" t="str">
        <f t="shared" si="66"/>
        <v/>
      </c>
      <c r="AM214" s="1">
        <f t="shared" si="51"/>
        <v>130</v>
      </c>
      <c r="AN214" s="5">
        <f t="shared" si="52"/>
        <v>0</v>
      </c>
      <c r="AO214" s="1" t="str">
        <f t="shared" si="67"/>
        <v/>
      </c>
    </row>
    <row r="215" spans="1:41">
      <c r="A215" t="s">
        <v>809</v>
      </c>
      <c r="B215" t="s">
        <v>667</v>
      </c>
      <c r="C215" t="s">
        <v>810</v>
      </c>
      <c r="D215">
        <v>598</v>
      </c>
      <c r="E215">
        <v>278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1</v>
      </c>
      <c r="L215" t="s">
        <v>811</v>
      </c>
      <c r="M215" t="s">
        <v>812</v>
      </c>
      <c r="N215" t="s">
        <v>671</v>
      </c>
      <c r="O215">
        <v>0</v>
      </c>
      <c r="P215" t="s">
        <v>806</v>
      </c>
      <c r="Q215" t="s">
        <v>134</v>
      </c>
      <c r="R215">
        <v>10695</v>
      </c>
      <c r="S215" t="s">
        <v>812</v>
      </c>
      <c r="U215" t="s">
        <v>105</v>
      </c>
      <c r="V215" t="s">
        <v>807</v>
      </c>
      <c r="W215">
        <v>12278809</v>
      </c>
      <c r="X215" t="s">
        <v>813</v>
      </c>
      <c r="Y215">
        <f t="shared" si="53"/>
        <v>0.166244</v>
      </c>
      <c r="Z215">
        <f t="shared" si="54"/>
        <v>1.752</v>
      </c>
      <c r="AA215">
        <f t="shared" si="55"/>
        <v>1.752</v>
      </c>
      <c r="AB215" s="2">
        <f t="shared" si="56"/>
        <v>15</v>
      </c>
      <c r="AC215" s="2">
        <f t="shared" si="57"/>
        <v>12</v>
      </c>
      <c r="AD215" s="2">
        <f t="shared" si="58"/>
        <v>0</v>
      </c>
      <c r="AE215" s="2">
        <f t="shared" si="59"/>
        <v>0</v>
      </c>
      <c r="AF215" s="2">
        <f t="shared" si="60"/>
        <v>9</v>
      </c>
      <c r="AG215" s="2">
        <f t="shared" si="61"/>
        <v>0</v>
      </c>
      <c r="AH215" s="2">
        <f t="shared" si="62"/>
        <v>0</v>
      </c>
      <c r="AI215" s="1">
        <f t="shared" si="63"/>
        <v>63.072000000000003</v>
      </c>
      <c r="AJ215" s="1">
        <f t="shared" si="64"/>
        <v>105.12</v>
      </c>
      <c r="AK215" s="1" t="str">
        <f t="shared" si="65"/>
        <v/>
      </c>
      <c r="AL215" s="1" t="str">
        <f t="shared" si="66"/>
        <v/>
      </c>
      <c r="AM215" s="1">
        <f t="shared" si="51"/>
        <v>130</v>
      </c>
      <c r="AN215" s="5">
        <f t="shared" si="52"/>
        <v>0</v>
      </c>
      <c r="AO215" s="1" t="str">
        <f t="shared" si="67"/>
        <v/>
      </c>
    </row>
    <row r="216" spans="1:41">
      <c r="A216" t="s">
        <v>814</v>
      </c>
      <c r="B216" t="s">
        <v>667</v>
      </c>
      <c r="C216" t="s">
        <v>815</v>
      </c>
      <c r="D216">
        <v>700</v>
      </c>
      <c r="E216">
        <v>578</v>
      </c>
      <c r="F216">
        <v>0</v>
      </c>
      <c r="G216">
        <v>1</v>
      </c>
      <c r="H216">
        <v>1</v>
      </c>
      <c r="I216">
        <v>1</v>
      </c>
      <c r="L216" t="s">
        <v>816</v>
      </c>
      <c r="M216" t="s">
        <v>817</v>
      </c>
      <c r="N216" t="s">
        <v>671</v>
      </c>
      <c r="O216">
        <v>0</v>
      </c>
      <c r="P216" t="s">
        <v>806</v>
      </c>
      <c r="Q216" t="s">
        <v>134</v>
      </c>
      <c r="R216">
        <v>10695</v>
      </c>
      <c r="S216" t="s">
        <v>817</v>
      </c>
      <c r="U216" t="s">
        <v>105</v>
      </c>
      <c r="V216" t="s">
        <v>807</v>
      </c>
      <c r="W216">
        <v>12278814</v>
      </c>
      <c r="X216" t="s">
        <v>813</v>
      </c>
      <c r="Y216">
        <f t="shared" si="53"/>
        <v>0.40460000000000002</v>
      </c>
      <c r="Z216">
        <f t="shared" si="54"/>
        <v>2.556</v>
      </c>
      <c r="AA216">
        <f t="shared" si="55"/>
        <v>1.4</v>
      </c>
      <c r="AB216" s="2">
        <f t="shared" si="56"/>
        <v>21</v>
      </c>
      <c r="AC216" s="2">
        <f t="shared" si="57"/>
        <v>15</v>
      </c>
      <c r="AD216" s="2">
        <f t="shared" si="58"/>
        <v>0</v>
      </c>
      <c r="AE216" s="2">
        <f t="shared" si="59"/>
        <v>18</v>
      </c>
      <c r="AF216" s="2">
        <f t="shared" si="60"/>
        <v>12</v>
      </c>
      <c r="AG216" s="2">
        <f t="shared" si="61"/>
        <v>0</v>
      </c>
      <c r="AH216" s="2">
        <f t="shared" si="62"/>
        <v>0</v>
      </c>
      <c r="AI216" s="1">
        <f t="shared" si="63"/>
        <v>92.016000000000005</v>
      </c>
      <c r="AJ216" s="1">
        <f t="shared" si="64"/>
        <v>84</v>
      </c>
      <c r="AK216" s="1" t="str">
        <f t="shared" si="65"/>
        <v/>
      </c>
      <c r="AL216" s="1">
        <f t="shared" si="66"/>
        <v>240</v>
      </c>
      <c r="AM216" s="1">
        <f t="shared" si="51"/>
        <v>130</v>
      </c>
      <c r="AN216" s="5">
        <f t="shared" si="52"/>
        <v>0</v>
      </c>
      <c r="AO216" s="1" t="str">
        <f t="shared" si="67"/>
        <v/>
      </c>
    </row>
    <row r="217" spans="1:41">
      <c r="A217" t="s">
        <v>818</v>
      </c>
      <c r="B217" t="s">
        <v>667</v>
      </c>
      <c r="C217" t="s">
        <v>819</v>
      </c>
      <c r="D217">
        <v>700</v>
      </c>
      <c r="E217">
        <v>578</v>
      </c>
      <c r="F217">
        <v>0</v>
      </c>
      <c r="G217">
        <v>1</v>
      </c>
      <c r="H217">
        <v>1</v>
      </c>
      <c r="I217">
        <v>1</v>
      </c>
      <c r="L217" t="s">
        <v>820</v>
      </c>
      <c r="M217" t="s">
        <v>821</v>
      </c>
      <c r="N217" t="s">
        <v>671</v>
      </c>
      <c r="O217">
        <v>0</v>
      </c>
      <c r="P217" t="s">
        <v>806</v>
      </c>
      <c r="Q217" t="s">
        <v>134</v>
      </c>
      <c r="R217">
        <v>10695</v>
      </c>
      <c r="S217" t="s">
        <v>821</v>
      </c>
      <c r="U217" t="s">
        <v>105</v>
      </c>
      <c r="V217" t="s">
        <v>807</v>
      </c>
      <c r="W217">
        <v>12278806</v>
      </c>
      <c r="X217" t="s">
        <v>813</v>
      </c>
      <c r="Y217">
        <f t="shared" si="53"/>
        <v>0.40460000000000002</v>
      </c>
      <c r="Z217">
        <f t="shared" si="54"/>
        <v>2.556</v>
      </c>
      <c r="AA217">
        <f t="shared" si="55"/>
        <v>1.4</v>
      </c>
      <c r="AB217" s="2">
        <f t="shared" si="56"/>
        <v>18</v>
      </c>
      <c r="AC217" s="2">
        <f t="shared" si="57"/>
        <v>15</v>
      </c>
      <c r="AD217" s="2">
        <f t="shared" si="58"/>
        <v>0</v>
      </c>
      <c r="AE217" s="2">
        <f t="shared" si="59"/>
        <v>0</v>
      </c>
      <c r="AF217" s="2">
        <f t="shared" si="60"/>
        <v>12</v>
      </c>
      <c r="AG217" s="2">
        <f t="shared" si="61"/>
        <v>0</v>
      </c>
      <c r="AH217" s="2">
        <f t="shared" si="62"/>
        <v>0</v>
      </c>
      <c r="AI217" s="1">
        <f t="shared" si="63"/>
        <v>92.016000000000005</v>
      </c>
      <c r="AJ217" s="1">
        <f t="shared" si="64"/>
        <v>84</v>
      </c>
      <c r="AK217" s="1" t="str">
        <f t="shared" si="65"/>
        <v/>
      </c>
      <c r="AL217" s="1" t="str">
        <f t="shared" si="66"/>
        <v/>
      </c>
      <c r="AM217" s="1">
        <f t="shared" si="51"/>
        <v>130</v>
      </c>
      <c r="AN217" s="5">
        <f t="shared" si="52"/>
        <v>0</v>
      </c>
      <c r="AO217" s="1" t="str">
        <f t="shared" si="67"/>
        <v/>
      </c>
    </row>
    <row r="218" spans="1:41">
      <c r="A218" t="s">
        <v>822</v>
      </c>
      <c r="B218" t="s">
        <v>667</v>
      </c>
      <c r="C218" t="s">
        <v>823</v>
      </c>
      <c r="D218">
        <v>598</v>
      </c>
      <c r="E218">
        <v>278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 t="s">
        <v>824</v>
      </c>
      <c r="M218" t="s">
        <v>825</v>
      </c>
      <c r="N218" t="s">
        <v>671</v>
      </c>
      <c r="O218">
        <v>0</v>
      </c>
      <c r="P218" t="s">
        <v>806</v>
      </c>
      <c r="Q218" t="s">
        <v>134</v>
      </c>
      <c r="R218">
        <v>10695</v>
      </c>
      <c r="S218" t="s">
        <v>825</v>
      </c>
      <c r="U218" t="s">
        <v>105</v>
      </c>
      <c r="V218" t="s">
        <v>807</v>
      </c>
      <c r="W218">
        <v>12278775</v>
      </c>
      <c r="X218" t="s">
        <v>826</v>
      </c>
      <c r="Y218">
        <f t="shared" si="53"/>
        <v>0.166244</v>
      </c>
      <c r="Z218">
        <f t="shared" si="54"/>
        <v>1.752</v>
      </c>
      <c r="AA218">
        <f t="shared" si="55"/>
        <v>1.752</v>
      </c>
      <c r="AB218" s="2">
        <f t="shared" si="56"/>
        <v>15</v>
      </c>
      <c r="AC218" s="2">
        <f t="shared" si="57"/>
        <v>12</v>
      </c>
      <c r="AD218" s="2">
        <f t="shared" si="58"/>
        <v>0</v>
      </c>
      <c r="AE218" s="2">
        <f t="shared" si="59"/>
        <v>0</v>
      </c>
      <c r="AF218" s="2">
        <f t="shared" si="60"/>
        <v>9</v>
      </c>
      <c r="AG218" s="2">
        <f t="shared" si="61"/>
        <v>0</v>
      </c>
      <c r="AH218" s="2">
        <f t="shared" si="62"/>
        <v>0</v>
      </c>
      <c r="AI218" s="1">
        <f t="shared" si="63"/>
        <v>63.072000000000003</v>
      </c>
      <c r="AJ218" s="1">
        <f t="shared" si="64"/>
        <v>105.12</v>
      </c>
      <c r="AK218" s="1" t="str">
        <f t="shared" si="65"/>
        <v/>
      </c>
      <c r="AL218" s="1" t="str">
        <f t="shared" si="66"/>
        <v/>
      </c>
      <c r="AM218" s="1">
        <f t="shared" si="51"/>
        <v>130</v>
      </c>
      <c r="AN218" s="5">
        <f t="shared" si="52"/>
        <v>0</v>
      </c>
      <c r="AO218" s="1" t="str">
        <f t="shared" si="67"/>
        <v/>
      </c>
    </row>
    <row r="219" spans="1:41">
      <c r="A219" t="s">
        <v>827</v>
      </c>
      <c r="B219" t="s">
        <v>667</v>
      </c>
      <c r="C219" t="s">
        <v>828</v>
      </c>
      <c r="D219">
        <v>700</v>
      </c>
      <c r="E219">
        <v>578</v>
      </c>
      <c r="F219">
        <v>0</v>
      </c>
      <c r="G219">
        <v>1</v>
      </c>
      <c r="H219">
        <v>1</v>
      </c>
      <c r="I219">
        <v>1</v>
      </c>
      <c r="L219" t="s">
        <v>829</v>
      </c>
      <c r="M219" t="s">
        <v>830</v>
      </c>
      <c r="N219" t="s">
        <v>671</v>
      </c>
      <c r="O219">
        <v>0</v>
      </c>
      <c r="P219" t="s">
        <v>806</v>
      </c>
      <c r="Q219" t="s">
        <v>134</v>
      </c>
      <c r="R219">
        <v>10695</v>
      </c>
      <c r="S219" t="s">
        <v>830</v>
      </c>
      <c r="U219" t="s">
        <v>105</v>
      </c>
      <c r="V219" t="s">
        <v>807</v>
      </c>
      <c r="W219">
        <v>12278772</v>
      </c>
      <c r="X219" t="s">
        <v>826</v>
      </c>
      <c r="Y219">
        <f t="shared" si="53"/>
        <v>0.40460000000000002</v>
      </c>
      <c r="Z219">
        <f t="shared" si="54"/>
        <v>2.556</v>
      </c>
      <c r="AA219">
        <f t="shared" si="55"/>
        <v>1.4</v>
      </c>
      <c r="AB219" s="2">
        <f t="shared" si="56"/>
        <v>15</v>
      </c>
      <c r="AC219" s="2">
        <f t="shared" si="57"/>
        <v>12</v>
      </c>
      <c r="AD219" s="2">
        <f t="shared" si="58"/>
        <v>0</v>
      </c>
      <c r="AE219" s="2">
        <f t="shared" si="59"/>
        <v>0</v>
      </c>
      <c r="AF219" s="2">
        <f t="shared" si="60"/>
        <v>9</v>
      </c>
      <c r="AG219" s="2">
        <f t="shared" si="61"/>
        <v>0</v>
      </c>
      <c r="AH219" s="2">
        <f t="shared" si="62"/>
        <v>0</v>
      </c>
      <c r="AI219" s="1">
        <f t="shared" si="63"/>
        <v>92.016000000000005</v>
      </c>
      <c r="AJ219" s="1">
        <f t="shared" si="64"/>
        <v>84</v>
      </c>
      <c r="AK219" s="1" t="str">
        <f t="shared" si="65"/>
        <v/>
      </c>
      <c r="AL219" s="1" t="str">
        <f t="shared" si="66"/>
        <v/>
      </c>
      <c r="AM219" s="1">
        <f t="shared" si="51"/>
        <v>130</v>
      </c>
      <c r="AN219" s="5">
        <f t="shared" si="52"/>
        <v>0</v>
      </c>
      <c r="AO219" s="1" t="str">
        <f t="shared" si="67"/>
        <v/>
      </c>
    </row>
    <row r="220" spans="1:41">
      <c r="A220" t="s">
        <v>831</v>
      </c>
      <c r="B220" t="s">
        <v>667</v>
      </c>
      <c r="C220" t="s">
        <v>832</v>
      </c>
      <c r="D220">
        <v>700</v>
      </c>
      <c r="E220">
        <v>578</v>
      </c>
      <c r="F220">
        <v>0</v>
      </c>
      <c r="G220">
        <v>1</v>
      </c>
      <c r="H220">
        <v>1</v>
      </c>
      <c r="I220">
        <v>1</v>
      </c>
      <c r="L220" t="s">
        <v>833</v>
      </c>
      <c r="M220" t="s">
        <v>834</v>
      </c>
      <c r="N220" t="s">
        <v>671</v>
      </c>
      <c r="O220">
        <v>0</v>
      </c>
      <c r="P220" t="s">
        <v>806</v>
      </c>
      <c r="Q220" t="s">
        <v>134</v>
      </c>
      <c r="R220">
        <v>10695</v>
      </c>
      <c r="S220" t="s">
        <v>834</v>
      </c>
      <c r="U220" t="s">
        <v>105</v>
      </c>
      <c r="V220" t="s">
        <v>807</v>
      </c>
      <c r="W220">
        <v>12278767</v>
      </c>
      <c r="X220" t="s">
        <v>826</v>
      </c>
      <c r="Y220">
        <f t="shared" si="53"/>
        <v>0.40460000000000002</v>
      </c>
      <c r="Z220">
        <f t="shared" si="54"/>
        <v>2.556</v>
      </c>
      <c r="AA220">
        <f t="shared" si="55"/>
        <v>1.4</v>
      </c>
      <c r="AB220" s="2">
        <f t="shared" si="56"/>
        <v>15</v>
      </c>
      <c r="AC220" s="2">
        <f t="shared" si="57"/>
        <v>12</v>
      </c>
      <c r="AD220" s="2">
        <f t="shared" si="58"/>
        <v>0</v>
      </c>
      <c r="AE220" s="2">
        <f t="shared" si="59"/>
        <v>0</v>
      </c>
      <c r="AF220" s="2">
        <f t="shared" si="60"/>
        <v>9</v>
      </c>
      <c r="AG220" s="2">
        <f t="shared" si="61"/>
        <v>0</v>
      </c>
      <c r="AH220" s="2">
        <f t="shared" si="62"/>
        <v>0</v>
      </c>
      <c r="AI220" s="1">
        <f t="shared" si="63"/>
        <v>92.016000000000005</v>
      </c>
      <c r="AJ220" s="1">
        <f t="shared" si="64"/>
        <v>84</v>
      </c>
      <c r="AK220" s="1" t="str">
        <f t="shared" si="65"/>
        <v/>
      </c>
      <c r="AL220" s="1" t="str">
        <f t="shared" si="66"/>
        <v/>
      </c>
      <c r="AM220" s="1">
        <f t="shared" si="51"/>
        <v>130</v>
      </c>
      <c r="AN220" s="5">
        <f t="shared" si="52"/>
        <v>0</v>
      </c>
      <c r="AO220" s="1" t="str">
        <f t="shared" si="67"/>
        <v/>
      </c>
    </row>
    <row r="221" spans="1:41">
      <c r="A221" t="s">
        <v>835</v>
      </c>
      <c r="B221" t="s">
        <v>667</v>
      </c>
      <c r="C221" t="s">
        <v>836</v>
      </c>
      <c r="D221">
        <v>562</v>
      </c>
      <c r="E221">
        <v>246</v>
      </c>
      <c r="F221">
        <v>0</v>
      </c>
      <c r="G221">
        <v>1</v>
      </c>
      <c r="L221" t="s">
        <v>837</v>
      </c>
      <c r="M221" t="s">
        <v>838</v>
      </c>
      <c r="N221" t="s">
        <v>671</v>
      </c>
      <c r="O221">
        <v>0</v>
      </c>
      <c r="P221" t="s">
        <v>806</v>
      </c>
      <c r="Q221" t="s">
        <v>134</v>
      </c>
      <c r="R221">
        <v>10695</v>
      </c>
      <c r="S221" t="s">
        <v>838</v>
      </c>
      <c r="U221" t="s">
        <v>105</v>
      </c>
      <c r="V221" t="s">
        <v>807</v>
      </c>
      <c r="W221">
        <v>12278763</v>
      </c>
      <c r="X221" t="s">
        <v>826</v>
      </c>
      <c r="Y221">
        <f t="shared" si="53"/>
        <v>0.13825200000000001</v>
      </c>
      <c r="Z221">
        <f t="shared" si="54"/>
        <v>1.6160000000000001</v>
      </c>
      <c r="AA221">
        <f t="shared" si="55"/>
        <v>0</v>
      </c>
      <c r="AB221" s="2">
        <f t="shared" si="56"/>
        <v>12</v>
      </c>
      <c r="AC221" s="2">
        <f t="shared" si="57"/>
        <v>9</v>
      </c>
      <c r="AD221" s="2">
        <f t="shared" si="58"/>
        <v>0</v>
      </c>
      <c r="AE221" s="2">
        <f t="shared" si="59"/>
        <v>0</v>
      </c>
      <c r="AF221" s="2">
        <f t="shared" si="60"/>
        <v>0</v>
      </c>
      <c r="AG221" s="2">
        <f t="shared" si="61"/>
        <v>0</v>
      </c>
      <c r="AH221" s="2">
        <f t="shared" si="62"/>
        <v>0</v>
      </c>
      <c r="AI221" s="1">
        <f t="shared" si="63"/>
        <v>58.176000000000002</v>
      </c>
      <c r="AJ221" s="1">
        <f t="shared" si="64"/>
        <v>0</v>
      </c>
      <c r="AK221" s="1" t="str">
        <f t="shared" si="65"/>
        <v/>
      </c>
      <c r="AL221" s="1" t="str">
        <f t="shared" si="66"/>
        <v/>
      </c>
      <c r="AM221" s="1" t="str">
        <f t="shared" si="51"/>
        <v/>
      </c>
      <c r="AN221" s="5">
        <f t="shared" si="52"/>
        <v>0</v>
      </c>
      <c r="AO221" s="1" t="str">
        <f t="shared" si="67"/>
        <v/>
      </c>
    </row>
    <row r="222" spans="1:41">
      <c r="A222" t="s">
        <v>839</v>
      </c>
      <c r="B222" t="s">
        <v>667</v>
      </c>
      <c r="C222" t="s">
        <v>840</v>
      </c>
      <c r="D222">
        <v>898</v>
      </c>
      <c r="E222">
        <v>598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 t="s">
        <v>841</v>
      </c>
      <c r="M222" t="s">
        <v>842</v>
      </c>
      <c r="N222" t="s">
        <v>671</v>
      </c>
      <c r="O222">
        <v>0</v>
      </c>
      <c r="P222" t="s">
        <v>360</v>
      </c>
      <c r="Q222" t="s">
        <v>134</v>
      </c>
      <c r="R222">
        <v>10695</v>
      </c>
      <c r="S222" t="s">
        <v>842</v>
      </c>
      <c r="U222" t="s">
        <v>361</v>
      </c>
      <c r="V222" t="s">
        <v>362</v>
      </c>
      <c r="W222">
        <v>12278648</v>
      </c>
      <c r="X222" t="s">
        <v>787</v>
      </c>
      <c r="Y222">
        <f t="shared" si="53"/>
        <v>0.53700400000000004</v>
      </c>
      <c r="Z222">
        <f t="shared" si="54"/>
        <v>2.992</v>
      </c>
      <c r="AA222">
        <f t="shared" si="55"/>
        <v>2.992</v>
      </c>
      <c r="AB222" s="2">
        <f t="shared" si="56"/>
        <v>19</v>
      </c>
      <c r="AC222" s="2">
        <f t="shared" si="57"/>
        <v>13</v>
      </c>
      <c r="AD222" s="2">
        <f t="shared" si="58"/>
        <v>0</v>
      </c>
      <c r="AE222" s="2">
        <f t="shared" si="59"/>
        <v>0</v>
      </c>
      <c r="AF222" s="2">
        <f t="shared" si="60"/>
        <v>10</v>
      </c>
      <c r="AG222" s="2">
        <f t="shared" si="61"/>
        <v>0</v>
      </c>
      <c r="AH222" s="2">
        <f t="shared" si="62"/>
        <v>0</v>
      </c>
      <c r="AI222" s="1">
        <f t="shared" si="63"/>
        <v>107.712</v>
      </c>
      <c r="AJ222" s="1">
        <f t="shared" si="64"/>
        <v>179.52</v>
      </c>
      <c r="AK222" s="1" t="str">
        <f t="shared" si="65"/>
        <v/>
      </c>
      <c r="AL222" s="1" t="str">
        <f t="shared" si="66"/>
        <v/>
      </c>
      <c r="AM222" s="1">
        <f t="shared" si="51"/>
        <v>130</v>
      </c>
      <c r="AN222" s="5">
        <f t="shared" si="52"/>
        <v>0</v>
      </c>
      <c r="AO222" s="1" t="str">
        <f t="shared" si="67"/>
        <v/>
      </c>
    </row>
    <row r="223" spans="1:41">
      <c r="A223" t="s">
        <v>843</v>
      </c>
      <c r="B223" t="s">
        <v>667</v>
      </c>
      <c r="C223" t="s">
        <v>844</v>
      </c>
      <c r="D223">
        <v>602</v>
      </c>
      <c r="E223">
        <v>598</v>
      </c>
      <c r="F223">
        <v>0</v>
      </c>
      <c r="G223">
        <v>1</v>
      </c>
      <c r="H223">
        <v>1</v>
      </c>
      <c r="I223">
        <v>1</v>
      </c>
      <c r="J223">
        <v>1</v>
      </c>
      <c r="K223">
        <v>1</v>
      </c>
      <c r="L223" t="s">
        <v>845</v>
      </c>
      <c r="M223" t="s">
        <v>597</v>
      </c>
      <c r="N223" t="s">
        <v>671</v>
      </c>
      <c r="O223">
        <v>0</v>
      </c>
      <c r="P223" t="s">
        <v>360</v>
      </c>
      <c r="Q223" t="s">
        <v>134</v>
      </c>
      <c r="R223">
        <v>10695</v>
      </c>
      <c r="S223" t="s">
        <v>597</v>
      </c>
      <c r="U223" t="s">
        <v>361</v>
      </c>
      <c r="V223" t="s">
        <v>362</v>
      </c>
      <c r="W223">
        <v>12278649</v>
      </c>
      <c r="X223" t="s">
        <v>787</v>
      </c>
      <c r="Y223">
        <f t="shared" si="53"/>
        <v>0.35999599999999998</v>
      </c>
      <c r="Z223">
        <f t="shared" si="54"/>
        <v>2.4</v>
      </c>
      <c r="AA223">
        <f t="shared" si="55"/>
        <v>2.4</v>
      </c>
      <c r="AB223" s="2">
        <f t="shared" si="56"/>
        <v>16</v>
      </c>
      <c r="AC223" s="2">
        <f t="shared" si="57"/>
        <v>13</v>
      </c>
      <c r="AD223" s="2">
        <f t="shared" si="58"/>
        <v>0</v>
      </c>
      <c r="AE223" s="2">
        <f t="shared" si="59"/>
        <v>0</v>
      </c>
      <c r="AF223" s="2">
        <f t="shared" si="60"/>
        <v>10</v>
      </c>
      <c r="AG223" s="2">
        <f t="shared" si="61"/>
        <v>0</v>
      </c>
      <c r="AH223" s="2">
        <f t="shared" si="62"/>
        <v>0</v>
      </c>
      <c r="AI223" s="1">
        <f t="shared" si="63"/>
        <v>86.399999999999991</v>
      </c>
      <c r="AJ223" s="1">
        <f t="shared" si="64"/>
        <v>144</v>
      </c>
      <c r="AK223" s="1" t="str">
        <f t="shared" si="65"/>
        <v/>
      </c>
      <c r="AL223" s="1" t="str">
        <f t="shared" si="66"/>
        <v/>
      </c>
      <c r="AM223" s="1">
        <f t="shared" si="51"/>
        <v>130</v>
      </c>
      <c r="AN223" s="5">
        <f t="shared" si="52"/>
        <v>0</v>
      </c>
      <c r="AO223" s="1" t="str">
        <f t="shared" si="67"/>
        <v/>
      </c>
    </row>
    <row r="224" spans="1:41">
      <c r="A224" t="s">
        <v>846</v>
      </c>
      <c r="B224" t="s">
        <v>667</v>
      </c>
      <c r="C224" t="s">
        <v>847</v>
      </c>
      <c r="D224">
        <v>603</v>
      </c>
      <c r="E224">
        <v>866</v>
      </c>
      <c r="F224">
        <v>0</v>
      </c>
      <c r="G224">
        <v>1</v>
      </c>
      <c r="H224">
        <v>1</v>
      </c>
      <c r="L224" t="s">
        <v>848</v>
      </c>
      <c r="M224" t="s">
        <v>849</v>
      </c>
      <c r="N224" t="s">
        <v>671</v>
      </c>
      <c r="O224">
        <v>0</v>
      </c>
      <c r="P224" t="s">
        <v>360</v>
      </c>
      <c r="Q224" t="s">
        <v>134</v>
      </c>
      <c r="R224">
        <v>10695</v>
      </c>
      <c r="S224" t="s">
        <v>849</v>
      </c>
      <c r="U224" t="s">
        <v>361</v>
      </c>
      <c r="V224" t="s">
        <v>362</v>
      </c>
      <c r="W224">
        <v>12278621</v>
      </c>
      <c r="X224" t="s">
        <v>787</v>
      </c>
      <c r="Y224">
        <f t="shared" si="53"/>
        <v>0.52219800000000005</v>
      </c>
      <c r="Z224">
        <f t="shared" si="54"/>
        <v>2.9380000000000002</v>
      </c>
      <c r="AA224">
        <f t="shared" si="55"/>
        <v>0.60299999999999998</v>
      </c>
      <c r="AB224" s="2">
        <f t="shared" si="56"/>
        <v>19</v>
      </c>
      <c r="AC224" s="2">
        <f t="shared" si="57"/>
        <v>13</v>
      </c>
      <c r="AD224" s="2">
        <f t="shared" si="58"/>
        <v>0</v>
      </c>
      <c r="AE224" s="2">
        <f t="shared" si="59"/>
        <v>16</v>
      </c>
      <c r="AF224" s="2">
        <f t="shared" si="60"/>
        <v>10</v>
      </c>
      <c r="AG224" s="2">
        <f t="shared" si="61"/>
        <v>0</v>
      </c>
      <c r="AH224" s="2">
        <f t="shared" si="62"/>
        <v>0</v>
      </c>
      <c r="AI224" s="1">
        <f t="shared" si="63"/>
        <v>105.768</v>
      </c>
      <c r="AJ224" s="1">
        <f t="shared" si="64"/>
        <v>36.18</v>
      </c>
      <c r="AK224" s="1" t="str">
        <f t="shared" si="65"/>
        <v/>
      </c>
      <c r="AL224" s="1">
        <f t="shared" si="66"/>
        <v>240</v>
      </c>
      <c r="AM224" s="1">
        <f t="shared" si="51"/>
        <v>130</v>
      </c>
      <c r="AN224" s="5">
        <f t="shared" si="52"/>
        <v>0</v>
      </c>
      <c r="AO224" s="1" t="str">
        <f t="shared" si="67"/>
        <v/>
      </c>
    </row>
    <row r="225" spans="1:41">
      <c r="A225" t="s">
        <v>850</v>
      </c>
      <c r="B225" t="s">
        <v>667</v>
      </c>
      <c r="C225" t="s">
        <v>851</v>
      </c>
      <c r="D225">
        <v>602</v>
      </c>
      <c r="E225">
        <v>598</v>
      </c>
      <c r="F225">
        <v>0</v>
      </c>
      <c r="G225">
        <v>1</v>
      </c>
      <c r="H225">
        <v>1</v>
      </c>
      <c r="I225">
        <v>1</v>
      </c>
      <c r="J225">
        <v>1</v>
      </c>
      <c r="K225">
        <v>1</v>
      </c>
      <c r="L225" t="s">
        <v>852</v>
      </c>
      <c r="M225" t="s">
        <v>145</v>
      </c>
      <c r="N225" t="s">
        <v>671</v>
      </c>
      <c r="O225">
        <v>0</v>
      </c>
      <c r="P225" t="s">
        <v>360</v>
      </c>
      <c r="Q225" t="s">
        <v>134</v>
      </c>
      <c r="R225">
        <v>10695</v>
      </c>
      <c r="S225" t="s">
        <v>145</v>
      </c>
      <c r="U225" t="s">
        <v>361</v>
      </c>
      <c r="V225" t="s">
        <v>362</v>
      </c>
      <c r="W225">
        <v>12278647</v>
      </c>
      <c r="X225" t="s">
        <v>787</v>
      </c>
      <c r="Y225">
        <f t="shared" si="53"/>
        <v>0.35999599999999998</v>
      </c>
      <c r="Z225">
        <f t="shared" si="54"/>
        <v>2.4</v>
      </c>
      <c r="AA225">
        <f t="shared" si="55"/>
        <v>2.4</v>
      </c>
      <c r="AB225" s="2">
        <f t="shared" si="56"/>
        <v>16</v>
      </c>
      <c r="AC225" s="2">
        <f t="shared" si="57"/>
        <v>13</v>
      </c>
      <c r="AD225" s="2">
        <f t="shared" si="58"/>
        <v>0</v>
      </c>
      <c r="AE225" s="2">
        <f t="shared" si="59"/>
        <v>0</v>
      </c>
      <c r="AF225" s="2">
        <f t="shared" si="60"/>
        <v>10</v>
      </c>
      <c r="AG225" s="2">
        <f t="shared" si="61"/>
        <v>0</v>
      </c>
      <c r="AH225" s="2">
        <f t="shared" si="62"/>
        <v>0</v>
      </c>
      <c r="AI225" s="1">
        <f t="shared" si="63"/>
        <v>86.399999999999991</v>
      </c>
      <c r="AJ225" s="1">
        <f t="shared" si="64"/>
        <v>144</v>
      </c>
      <c r="AK225" s="1" t="str">
        <f t="shared" si="65"/>
        <v/>
      </c>
      <c r="AL225" s="1" t="str">
        <f t="shared" si="66"/>
        <v/>
      </c>
      <c r="AM225" s="1">
        <f t="shared" si="51"/>
        <v>130</v>
      </c>
      <c r="AN225" s="5">
        <f t="shared" si="52"/>
        <v>0</v>
      </c>
      <c r="AO225" s="1" t="str">
        <f t="shared" si="67"/>
        <v/>
      </c>
    </row>
    <row r="226" spans="1:41">
      <c r="A226" t="s">
        <v>853</v>
      </c>
      <c r="B226" t="s">
        <v>667</v>
      </c>
      <c r="C226" t="s">
        <v>854</v>
      </c>
      <c r="D226">
        <v>592</v>
      </c>
      <c r="E226">
        <v>438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 t="s">
        <v>855</v>
      </c>
      <c r="M226" t="s">
        <v>856</v>
      </c>
      <c r="N226" t="s">
        <v>671</v>
      </c>
      <c r="O226">
        <v>0</v>
      </c>
      <c r="P226" t="s">
        <v>360</v>
      </c>
      <c r="Q226" t="s">
        <v>134</v>
      </c>
      <c r="R226">
        <v>10695</v>
      </c>
      <c r="S226" t="s">
        <v>856</v>
      </c>
      <c r="U226" t="s">
        <v>361</v>
      </c>
      <c r="V226" t="s">
        <v>362</v>
      </c>
      <c r="W226">
        <v>12278651</v>
      </c>
      <c r="X226" t="s">
        <v>787</v>
      </c>
      <c r="Y226">
        <f t="shared" si="53"/>
        <v>0.25929600000000003</v>
      </c>
      <c r="Z226">
        <f t="shared" si="54"/>
        <v>2.06</v>
      </c>
      <c r="AA226">
        <f t="shared" si="55"/>
        <v>2.06</v>
      </c>
      <c r="AB226" s="2">
        <f t="shared" si="56"/>
        <v>19</v>
      </c>
      <c r="AC226" s="2">
        <f t="shared" si="57"/>
        <v>16</v>
      </c>
      <c r="AD226" s="2">
        <f t="shared" si="58"/>
        <v>0</v>
      </c>
      <c r="AE226" s="2">
        <f t="shared" si="59"/>
        <v>0</v>
      </c>
      <c r="AF226" s="2">
        <f t="shared" si="60"/>
        <v>13</v>
      </c>
      <c r="AG226" s="2">
        <f t="shared" si="61"/>
        <v>0</v>
      </c>
      <c r="AH226" s="2">
        <f t="shared" si="62"/>
        <v>0</v>
      </c>
      <c r="AI226" s="1">
        <f t="shared" si="63"/>
        <v>74.16</v>
      </c>
      <c r="AJ226" s="1">
        <f t="shared" si="64"/>
        <v>123.60000000000001</v>
      </c>
      <c r="AK226" s="1" t="str">
        <f t="shared" si="65"/>
        <v/>
      </c>
      <c r="AL226" s="1" t="str">
        <f t="shared" si="66"/>
        <v/>
      </c>
      <c r="AM226" s="1">
        <f t="shared" si="51"/>
        <v>130</v>
      </c>
      <c r="AN226" s="5">
        <f t="shared" si="52"/>
        <v>0</v>
      </c>
      <c r="AO226" s="1" t="str">
        <f t="shared" si="67"/>
        <v/>
      </c>
    </row>
    <row r="227" spans="1:41">
      <c r="A227" t="s">
        <v>857</v>
      </c>
      <c r="B227" t="s">
        <v>667</v>
      </c>
      <c r="C227" t="s">
        <v>858</v>
      </c>
      <c r="D227">
        <v>592</v>
      </c>
      <c r="E227">
        <v>438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 t="s">
        <v>859</v>
      </c>
      <c r="M227" t="s">
        <v>860</v>
      </c>
      <c r="N227" t="s">
        <v>671</v>
      </c>
      <c r="O227">
        <v>0</v>
      </c>
      <c r="P227" t="s">
        <v>360</v>
      </c>
      <c r="Q227" t="s">
        <v>134</v>
      </c>
      <c r="R227">
        <v>10695</v>
      </c>
      <c r="S227" t="s">
        <v>860</v>
      </c>
      <c r="U227" t="s">
        <v>361</v>
      </c>
      <c r="V227" t="s">
        <v>362</v>
      </c>
      <c r="W227">
        <v>12278652</v>
      </c>
      <c r="X227" t="s">
        <v>787</v>
      </c>
      <c r="Y227">
        <f t="shared" si="53"/>
        <v>0.25929600000000003</v>
      </c>
      <c r="Z227">
        <f t="shared" si="54"/>
        <v>2.06</v>
      </c>
      <c r="AA227">
        <f t="shared" si="55"/>
        <v>2.06</v>
      </c>
      <c r="AB227" s="2">
        <f t="shared" si="56"/>
        <v>19</v>
      </c>
      <c r="AC227" s="2">
        <f t="shared" si="57"/>
        <v>16</v>
      </c>
      <c r="AD227" s="2">
        <f t="shared" si="58"/>
        <v>0</v>
      </c>
      <c r="AE227" s="2">
        <f t="shared" si="59"/>
        <v>0</v>
      </c>
      <c r="AF227" s="2">
        <f t="shared" si="60"/>
        <v>13</v>
      </c>
      <c r="AG227" s="2">
        <f t="shared" si="61"/>
        <v>0</v>
      </c>
      <c r="AH227" s="2">
        <f t="shared" si="62"/>
        <v>0</v>
      </c>
      <c r="AI227" s="1">
        <f t="shared" si="63"/>
        <v>74.16</v>
      </c>
      <c r="AJ227" s="1">
        <f t="shared" si="64"/>
        <v>123.60000000000001</v>
      </c>
      <c r="AK227" s="1" t="str">
        <f t="shared" si="65"/>
        <v/>
      </c>
      <c r="AL227" s="1" t="str">
        <f t="shared" si="66"/>
        <v/>
      </c>
      <c r="AM227" s="1">
        <f t="shared" si="51"/>
        <v>130</v>
      </c>
      <c r="AN227" s="5">
        <f t="shared" si="52"/>
        <v>0</v>
      </c>
      <c r="AO227" s="1" t="str">
        <f t="shared" si="67"/>
        <v/>
      </c>
    </row>
    <row r="228" spans="1:41">
      <c r="A228" t="s">
        <v>861</v>
      </c>
      <c r="B228" t="s">
        <v>667</v>
      </c>
      <c r="C228" t="s">
        <v>862</v>
      </c>
      <c r="D228">
        <v>602</v>
      </c>
      <c r="E228">
        <v>521</v>
      </c>
      <c r="F228">
        <v>0</v>
      </c>
      <c r="G228">
        <v>1</v>
      </c>
      <c r="H228">
        <v>1</v>
      </c>
      <c r="J228">
        <v>1</v>
      </c>
      <c r="K228">
        <v>1</v>
      </c>
      <c r="L228" t="s">
        <v>863</v>
      </c>
      <c r="M228" t="s">
        <v>717</v>
      </c>
      <c r="N228" t="s">
        <v>671</v>
      </c>
      <c r="O228">
        <v>0</v>
      </c>
      <c r="P228" t="s">
        <v>360</v>
      </c>
      <c r="Q228" t="s">
        <v>134</v>
      </c>
      <c r="R228">
        <v>10695</v>
      </c>
      <c r="S228" t="s">
        <v>717</v>
      </c>
      <c r="U228" t="s">
        <v>361</v>
      </c>
      <c r="V228" t="s">
        <v>362</v>
      </c>
      <c r="W228">
        <v>12278624</v>
      </c>
      <c r="X228" t="s">
        <v>787</v>
      </c>
      <c r="Y228">
        <f t="shared" si="53"/>
        <v>0.31364199999999998</v>
      </c>
      <c r="Z228">
        <f t="shared" si="54"/>
        <v>2.246</v>
      </c>
      <c r="AA228">
        <f t="shared" si="55"/>
        <v>1.6439999999999999</v>
      </c>
      <c r="AB228" s="2">
        <f t="shared" si="56"/>
        <v>19</v>
      </c>
      <c r="AC228" s="2">
        <f t="shared" si="57"/>
        <v>13</v>
      </c>
      <c r="AD228" s="2">
        <f t="shared" si="58"/>
        <v>0</v>
      </c>
      <c r="AE228" s="2">
        <f t="shared" si="59"/>
        <v>16</v>
      </c>
      <c r="AF228" s="2">
        <f t="shared" si="60"/>
        <v>10</v>
      </c>
      <c r="AG228" s="2">
        <f t="shared" si="61"/>
        <v>0</v>
      </c>
      <c r="AH228" s="2">
        <f t="shared" si="62"/>
        <v>0</v>
      </c>
      <c r="AI228" s="1">
        <f t="shared" si="63"/>
        <v>80.855999999999995</v>
      </c>
      <c r="AJ228" s="1">
        <f t="shared" si="64"/>
        <v>98.64</v>
      </c>
      <c r="AK228" s="1" t="str">
        <f t="shared" si="65"/>
        <v/>
      </c>
      <c r="AL228" s="1">
        <f t="shared" si="66"/>
        <v>240</v>
      </c>
      <c r="AM228" s="1">
        <f t="shared" si="51"/>
        <v>130</v>
      </c>
      <c r="AN228" s="5">
        <f t="shared" si="52"/>
        <v>0</v>
      </c>
      <c r="AO228" s="1" t="str">
        <f t="shared" si="67"/>
        <v/>
      </c>
    </row>
    <row r="229" spans="1:41">
      <c r="A229" t="s">
        <v>864</v>
      </c>
      <c r="B229" t="s">
        <v>667</v>
      </c>
      <c r="C229" t="s">
        <v>865</v>
      </c>
      <c r="D229">
        <v>866</v>
      </c>
      <c r="E229">
        <v>305</v>
      </c>
      <c r="F229">
        <v>0</v>
      </c>
      <c r="G229">
        <v>1</v>
      </c>
      <c r="H229">
        <v>1</v>
      </c>
      <c r="L229" t="s">
        <v>866</v>
      </c>
      <c r="M229" t="s">
        <v>867</v>
      </c>
      <c r="N229" t="s">
        <v>671</v>
      </c>
      <c r="O229">
        <v>0</v>
      </c>
      <c r="P229" t="s">
        <v>360</v>
      </c>
      <c r="Q229" t="s">
        <v>134</v>
      </c>
      <c r="R229">
        <v>10695</v>
      </c>
      <c r="S229" t="s">
        <v>867</v>
      </c>
      <c r="U229" t="s">
        <v>361</v>
      </c>
      <c r="V229" t="s">
        <v>362</v>
      </c>
      <c r="W229">
        <v>12278632</v>
      </c>
      <c r="X229" t="s">
        <v>787</v>
      </c>
      <c r="Y229">
        <f t="shared" si="53"/>
        <v>0.26412999999999998</v>
      </c>
      <c r="Z229">
        <f t="shared" si="54"/>
        <v>2.3420000000000001</v>
      </c>
      <c r="AA229">
        <f t="shared" si="55"/>
        <v>0.86599999999999999</v>
      </c>
      <c r="AB229" s="2">
        <f t="shared" si="56"/>
        <v>16</v>
      </c>
      <c r="AC229" s="2">
        <f t="shared" si="57"/>
        <v>13</v>
      </c>
      <c r="AD229" s="2">
        <f t="shared" si="58"/>
        <v>0</v>
      </c>
      <c r="AE229" s="2">
        <f t="shared" si="59"/>
        <v>0</v>
      </c>
      <c r="AF229" s="2">
        <f t="shared" si="60"/>
        <v>10</v>
      </c>
      <c r="AG229" s="2">
        <f t="shared" si="61"/>
        <v>0</v>
      </c>
      <c r="AH229" s="2">
        <f t="shared" si="62"/>
        <v>0</v>
      </c>
      <c r="AI229" s="1">
        <f t="shared" si="63"/>
        <v>84.311999999999998</v>
      </c>
      <c r="AJ229" s="1">
        <f t="shared" si="64"/>
        <v>51.96</v>
      </c>
      <c r="AK229" s="1" t="str">
        <f t="shared" si="65"/>
        <v/>
      </c>
      <c r="AL229" s="1" t="str">
        <f t="shared" si="66"/>
        <v/>
      </c>
      <c r="AM229" s="1">
        <f t="shared" si="51"/>
        <v>130</v>
      </c>
      <c r="AN229" s="5">
        <f t="shared" si="52"/>
        <v>0</v>
      </c>
      <c r="AO229" s="1" t="str">
        <f t="shared" si="67"/>
        <v/>
      </c>
    </row>
    <row r="230" spans="1:41">
      <c r="A230" t="s">
        <v>868</v>
      </c>
      <c r="B230" t="s">
        <v>667</v>
      </c>
      <c r="C230" t="s">
        <v>869</v>
      </c>
      <c r="D230">
        <v>866</v>
      </c>
      <c r="E230">
        <v>58</v>
      </c>
      <c r="F230">
        <v>0</v>
      </c>
      <c r="G230">
        <v>1</v>
      </c>
      <c r="H230">
        <v>1</v>
      </c>
      <c r="I230">
        <v>1</v>
      </c>
      <c r="L230" t="s">
        <v>870</v>
      </c>
      <c r="M230" t="s">
        <v>871</v>
      </c>
      <c r="N230" t="s">
        <v>671</v>
      </c>
      <c r="O230">
        <v>0</v>
      </c>
      <c r="P230" t="s">
        <v>360</v>
      </c>
      <c r="Q230" t="s">
        <v>134</v>
      </c>
      <c r="R230">
        <v>10695</v>
      </c>
      <c r="S230" t="s">
        <v>871</v>
      </c>
      <c r="U230" t="s">
        <v>361</v>
      </c>
      <c r="V230" t="s">
        <v>362</v>
      </c>
      <c r="W230">
        <v>12278653</v>
      </c>
      <c r="X230" t="s">
        <v>787</v>
      </c>
      <c r="Y230">
        <f t="shared" si="53"/>
        <v>5.0228000000000002E-2</v>
      </c>
      <c r="Z230">
        <f t="shared" si="54"/>
        <v>1.8480000000000001</v>
      </c>
      <c r="AA230">
        <f t="shared" si="55"/>
        <v>1.732</v>
      </c>
      <c r="AB230" s="2">
        <f t="shared" si="56"/>
        <v>16</v>
      </c>
      <c r="AC230" s="2">
        <f t="shared" si="57"/>
        <v>13</v>
      </c>
      <c r="AD230" s="2">
        <f t="shared" si="58"/>
        <v>0</v>
      </c>
      <c r="AE230" s="2">
        <f t="shared" si="59"/>
        <v>0</v>
      </c>
      <c r="AF230" s="2">
        <f t="shared" si="60"/>
        <v>10</v>
      </c>
      <c r="AG230" s="2">
        <f t="shared" si="61"/>
        <v>0</v>
      </c>
      <c r="AH230" s="2">
        <f t="shared" si="62"/>
        <v>0</v>
      </c>
      <c r="AI230" s="1">
        <f t="shared" si="63"/>
        <v>66.528000000000006</v>
      </c>
      <c r="AJ230" s="1">
        <f t="shared" si="64"/>
        <v>103.92</v>
      </c>
      <c r="AK230" s="1" t="str">
        <f t="shared" si="65"/>
        <v/>
      </c>
      <c r="AL230" s="1" t="str">
        <f t="shared" si="66"/>
        <v/>
      </c>
      <c r="AM230" s="1">
        <f t="shared" si="51"/>
        <v>130</v>
      </c>
      <c r="AN230" s="5">
        <f t="shared" si="52"/>
        <v>0</v>
      </c>
      <c r="AO230" s="1" t="str">
        <f t="shared" si="67"/>
        <v/>
      </c>
    </row>
    <row r="231" spans="1:41">
      <c r="A231" t="s">
        <v>872</v>
      </c>
      <c r="B231" t="s">
        <v>667</v>
      </c>
      <c r="C231" t="s">
        <v>873</v>
      </c>
      <c r="D231">
        <v>895</v>
      </c>
      <c r="E231">
        <v>274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1</v>
      </c>
      <c r="L231" t="s">
        <v>874</v>
      </c>
      <c r="M231" t="s">
        <v>875</v>
      </c>
      <c r="N231" t="s">
        <v>671</v>
      </c>
      <c r="O231">
        <v>0</v>
      </c>
      <c r="P231" t="s">
        <v>360</v>
      </c>
      <c r="Q231" t="s">
        <v>134</v>
      </c>
      <c r="R231">
        <v>10695</v>
      </c>
      <c r="S231" t="s">
        <v>875</v>
      </c>
      <c r="U231" t="s">
        <v>361</v>
      </c>
      <c r="V231" t="s">
        <v>362</v>
      </c>
      <c r="W231">
        <v>12278650</v>
      </c>
      <c r="X231" t="s">
        <v>787</v>
      </c>
      <c r="Y231">
        <f t="shared" si="53"/>
        <v>0.24523</v>
      </c>
      <c r="Z231">
        <f t="shared" si="54"/>
        <v>2.3380000000000001</v>
      </c>
      <c r="AA231">
        <f t="shared" si="55"/>
        <v>2.3380000000000001</v>
      </c>
      <c r="AB231" s="2">
        <f t="shared" si="56"/>
        <v>19</v>
      </c>
      <c r="AC231" s="2">
        <f t="shared" si="57"/>
        <v>16</v>
      </c>
      <c r="AD231" s="2">
        <f t="shared" si="58"/>
        <v>0</v>
      </c>
      <c r="AE231" s="2">
        <f t="shared" si="59"/>
        <v>0</v>
      </c>
      <c r="AF231" s="2">
        <f t="shared" si="60"/>
        <v>13</v>
      </c>
      <c r="AG231" s="2">
        <f t="shared" si="61"/>
        <v>0</v>
      </c>
      <c r="AH231" s="2">
        <f t="shared" si="62"/>
        <v>0</v>
      </c>
      <c r="AI231" s="1">
        <f t="shared" si="63"/>
        <v>84.168000000000006</v>
      </c>
      <c r="AJ231" s="1">
        <f t="shared" si="64"/>
        <v>140.28</v>
      </c>
      <c r="AK231" s="1" t="str">
        <f t="shared" si="65"/>
        <v/>
      </c>
      <c r="AL231" s="1" t="str">
        <f t="shared" si="66"/>
        <v/>
      </c>
      <c r="AM231" s="1">
        <f t="shared" si="51"/>
        <v>130</v>
      </c>
      <c r="AN231" s="5">
        <f t="shared" si="52"/>
        <v>0</v>
      </c>
      <c r="AO231" s="1" t="str">
        <f t="shared" si="67"/>
        <v/>
      </c>
    </row>
    <row r="232" spans="1:41">
      <c r="A232" t="s">
        <v>876</v>
      </c>
      <c r="B232" t="s">
        <v>667</v>
      </c>
      <c r="C232" t="s">
        <v>877</v>
      </c>
      <c r="D232">
        <v>519</v>
      </c>
      <c r="E232">
        <v>425</v>
      </c>
      <c r="F232">
        <v>0</v>
      </c>
      <c r="G232">
        <v>2</v>
      </c>
      <c r="K232">
        <v>1</v>
      </c>
      <c r="L232" t="s">
        <v>876</v>
      </c>
      <c r="M232" t="s">
        <v>609</v>
      </c>
      <c r="N232" t="s">
        <v>671</v>
      </c>
      <c r="O232">
        <v>0</v>
      </c>
      <c r="P232" t="s">
        <v>360</v>
      </c>
      <c r="Q232" t="s">
        <v>134</v>
      </c>
      <c r="R232">
        <v>10695</v>
      </c>
      <c r="S232" t="s">
        <v>609</v>
      </c>
      <c r="U232" t="s">
        <v>361</v>
      </c>
      <c r="V232" t="s">
        <v>362</v>
      </c>
      <c r="W232">
        <v>12278618</v>
      </c>
      <c r="X232" t="s">
        <v>787</v>
      </c>
      <c r="Y232">
        <f t="shared" si="53"/>
        <v>0.44114999999999999</v>
      </c>
      <c r="Z232">
        <f t="shared" si="54"/>
        <v>3.7759999999999998</v>
      </c>
      <c r="AA232">
        <f t="shared" si="55"/>
        <v>0.85</v>
      </c>
      <c r="AB232" s="2">
        <f t="shared" si="56"/>
        <v>13</v>
      </c>
      <c r="AC232" s="2">
        <f t="shared" si="57"/>
        <v>10</v>
      </c>
      <c r="AD232" s="2">
        <f t="shared" si="58"/>
        <v>0</v>
      </c>
      <c r="AE232" s="2">
        <f t="shared" si="59"/>
        <v>0</v>
      </c>
      <c r="AF232" s="2">
        <f t="shared" si="60"/>
        <v>0</v>
      </c>
      <c r="AG232" s="2">
        <f t="shared" si="61"/>
        <v>0</v>
      </c>
      <c r="AH232" s="2">
        <f t="shared" si="62"/>
        <v>0</v>
      </c>
      <c r="AI232" s="1">
        <f t="shared" si="63"/>
        <v>135.93599999999998</v>
      </c>
      <c r="AJ232" s="1">
        <f t="shared" si="64"/>
        <v>51</v>
      </c>
      <c r="AK232" s="1" t="str">
        <f t="shared" si="65"/>
        <v/>
      </c>
      <c r="AL232" s="1" t="str">
        <f t="shared" si="66"/>
        <v/>
      </c>
      <c r="AM232" s="1" t="str">
        <f t="shared" si="51"/>
        <v/>
      </c>
      <c r="AN232" s="5">
        <f t="shared" si="52"/>
        <v>0</v>
      </c>
      <c r="AO232" s="1" t="str">
        <f t="shared" si="67"/>
        <v/>
      </c>
    </row>
    <row r="233" spans="1:41">
      <c r="A233" t="s">
        <v>878</v>
      </c>
      <c r="B233" t="s">
        <v>667</v>
      </c>
      <c r="C233" t="s">
        <v>879</v>
      </c>
      <c r="D233">
        <v>556</v>
      </c>
      <c r="E233">
        <v>578</v>
      </c>
      <c r="F233">
        <v>0</v>
      </c>
      <c r="G233">
        <v>5</v>
      </c>
      <c r="J233">
        <v>1</v>
      </c>
      <c r="K233">
        <v>1</v>
      </c>
      <c r="L233" t="s">
        <v>880</v>
      </c>
      <c r="M233" t="s">
        <v>881</v>
      </c>
      <c r="N233" t="s">
        <v>671</v>
      </c>
      <c r="O233">
        <v>0</v>
      </c>
      <c r="P233" t="s">
        <v>406</v>
      </c>
      <c r="Q233" t="s">
        <v>374</v>
      </c>
      <c r="R233">
        <v>3136</v>
      </c>
      <c r="S233" t="s">
        <v>881</v>
      </c>
      <c r="U233" t="s">
        <v>83</v>
      </c>
      <c r="V233" t="s">
        <v>407</v>
      </c>
      <c r="W233">
        <v>12277700</v>
      </c>
      <c r="X233" t="s">
        <v>406</v>
      </c>
      <c r="Y233">
        <f t="shared" si="53"/>
        <v>1.60684</v>
      </c>
      <c r="Z233">
        <f t="shared" si="54"/>
        <v>11.34</v>
      </c>
      <c r="AA233">
        <f t="shared" si="55"/>
        <v>5.7799999999999994</v>
      </c>
      <c r="AB233" s="2">
        <f t="shared" si="56"/>
        <v>20</v>
      </c>
      <c r="AC233" s="2">
        <f t="shared" si="57"/>
        <v>14</v>
      </c>
      <c r="AD233" s="2">
        <f t="shared" si="58"/>
        <v>0</v>
      </c>
      <c r="AE233" s="2">
        <f t="shared" si="59"/>
        <v>17</v>
      </c>
      <c r="AF233" s="2">
        <f t="shared" si="60"/>
        <v>11</v>
      </c>
      <c r="AG233" s="2">
        <f t="shared" si="61"/>
        <v>0</v>
      </c>
      <c r="AH233" s="2">
        <f t="shared" si="62"/>
        <v>0</v>
      </c>
      <c r="AI233" s="1">
        <f t="shared" si="63"/>
        <v>408.24</v>
      </c>
      <c r="AJ233" s="1">
        <f t="shared" si="64"/>
        <v>346.79999999999995</v>
      </c>
      <c r="AK233" s="1" t="str">
        <f t="shared" si="65"/>
        <v/>
      </c>
      <c r="AL233" s="1">
        <f t="shared" si="66"/>
        <v>1200</v>
      </c>
      <c r="AM233" s="1">
        <f t="shared" si="51"/>
        <v>650</v>
      </c>
      <c r="AN233" s="5">
        <f t="shared" si="52"/>
        <v>0</v>
      </c>
      <c r="AO233" s="1" t="str">
        <f t="shared" si="67"/>
        <v/>
      </c>
    </row>
    <row r="234" spans="1:41">
      <c r="A234" t="s">
        <v>882</v>
      </c>
      <c r="B234" t="s">
        <v>667</v>
      </c>
      <c r="C234" t="s">
        <v>883</v>
      </c>
      <c r="D234">
        <v>556</v>
      </c>
      <c r="E234">
        <v>578</v>
      </c>
      <c r="F234">
        <v>0</v>
      </c>
      <c r="G234">
        <v>5</v>
      </c>
      <c r="J234">
        <v>1</v>
      </c>
      <c r="K234">
        <v>1</v>
      </c>
      <c r="L234" t="s">
        <v>882</v>
      </c>
      <c r="M234" t="s">
        <v>884</v>
      </c>
      <c r="N234" t="s">
        <v>671</v>
      </c>
      <c r="O234">
        <v>0</v>
      </c>
      <c r="P234" t="s">
        <v>406</v>
      </c>
      <c r="Q234" t="s">
        <v>374</v>
      </c>
      <c r="R234">
        <v>3136</v>
      </c>
      <c r="S234" t="s">
        <v>884</v>
      </c>
      <c r="U234" t="s">
        <v>83</v>
      </c>
      <c r="V234" t="s">
        <v>407</v>
      </c>
      <c r="W234">
        <v>12277697</v>
      </c>
      <c r="X234" t="s">
        <v>406</v>
      </c>
      <c r="Y234">
        <f t="shared" si="53"/>
        <v>1.60684</v>
      </c>
      <c r="Z234">
        <f t="shared" si="54"/>
        <v>11.34</v>
      </c>
      <c r="AA234">
        <f t="shared" si="55"/>
        <v>5.7799999999999994</v>
      </c>
      <c r="AB234" s="2">
        <f t="shared" si="56"/>
        <v>17</v>
      </c>
      <c r="AC234" s="2">
        <f t="shared" si="57"/>
        <v>14</v>
      </c>
      <c r="AD234" s="2">
        <f t="shared" si="58"/>
        <v>0</v>
      </c>
      <c r="AE234" s="2">
        <f t="shared" si="59"/>
        <v>0</v>
      </c>
      <c r="AF234" s="2">
        <f t="shared" si="60"/>
        <v>11</v>
      </c>
      <c r="AG234" s="2">
        <f t="shared" si="61"/>
        <v>0</v>
      </c>
      <c r="AH234" s="2">
        <f t="shared" si="62"/>
        <v>0</v>
      </c>
      <c r="AI234" s="1">
        <f t="shared" si="63"/>
        <v>408.24</v>
      </c>
      <c r="AJ234" s="1">
        <f t="shared" si="64"/>
        <v>346.79999999999995</v>
      </c>
      <c r="AK234" s="1" t="str">
        <f t="shared" si="65"/>
        <v/>
      </c>
      <c r="AL234" s="1" t="str">
        <f t="shared" si="66"/>
        <v/>
      </c>
      <c r="AM234" s="1">
        <f t="shared" si="51"/>
        <v>650</v>
      </c>
      <c r="AN234" s="5">
        <f t="shared" si="52"/>
        <v>0</v>
      </c>
      <c r="AO234" s="1" t="str">
        <f t="shared" si="67"/>
        <v/>
      </c>
    </row>
    <row r="235" spans="1:41">
      <c r="A235" t="s">
        <v>885</v>
      </c>
      <c r="B235" t="s">
        <v>667</v>
      </c>
      <c r="C235" t="s">
        <v>886</v>
      </c>
      <c r="D235">
        <v>1466</v>
      </c>
      <c r="E235">
        <v>452</v>
      </c>
      <c r="F235">
        <v>0</v>
      </c>
      <c r="G235">
        <v>1</v>
      </c>
      <c r="H235">
        <v>1</v>
      </c>
      <c r="I235">
        <v>1</v>
      </c>
      <c r="J235">
        <v>1</v>
      </c>
      <c r="K235">
        <v>1</v>
      </c>
      <c r="L235" t="s">
        <v>887</v>
      </c>
      <c r="M235" t="s">
        <v>145</v>
      </c>
      <c r="N235" t="s">
        <v>671</v>
      </c>
      <c r="O235">
        <v>0</v>
      </c>
      <c r="P235" t="s">
        <v>420</v>
      </c>
      <c r="Q235" t="s">
        <v>374</v>
      </c>
      <c r="R235">
        <v>3136</v>
      </c>
      <c r="S235" t="s">
        <v>145</v>
      </c>
      <c r="U235" t="s">
        <v>83</v>
      </c>
      <c r="V235" t="s">
        <v>421</v>
      </c>
      <c r="W235">
        <v>12278183</v>
      </c>
      <c r="X235" t="s">
        <v>689</v>
      </c>
      <c r="Y235">
        <f t="shared" si="53"/>
        <v>0.662632</v>
      </c>
      <c r="Z235">
        <f t="shared" si="54"/>
        <v>3.8359999999999999</v>
      </c>
      <c r="AA235">
        <f t="shared" si="55"/>
        <v>3.8359999999999999</v>
      </c>
      <c r="AB235" s="2">
        <f t="shared" si="56"/>
        <v>16</v>
      </c>
      <c r="AC235" s="2">
        <f t="shared" si="57"/>
        <v>13</v>
      </c>
      <c r="AD235" s="2">
        <f t="shared" si="58"/>
        <v>0</v>
      </c>
      <c r="AE235" s="2">
        <f t="shared" si="59"/>
        <v>0</v>
      </c>
      <c r="AF235" s="2">
        <f t="shared" si="60"/>
        <v>10</v>
      </c>
      <c r="AG235" s="2">
        <f t="shared" si="61"/>
        <v>0</v>
      </c>
      <c r="AH235" s="2">
        <f t="shared" si="62"/>
        <v>0</v>
      </c>
      <c r="AI235" s="1">
        <f t="shared" si="63"/>
        <v>138.096</v>
      </c>
      <c r="AJ235" s="1">
        <f t="shared" si="64"/>
        <v>230.16</v>
      </c>
      <c r="AK235" s="1" t="str">
        <f t="shared" si="65"/>
        <v/>
      </c>
      <c r="AL235" s="1" t="str">
        <f t="shared" si="66"/>
        <v/>
      </c>
      <c r="AM235" s="1">
        <f t="shared" si="51"/>
        <v>130</v>
      </c>
      <c r="AN235" s="5">
        <f t="shared" si="52"/>
        <v>0</v>
      </c>
      <c r="AO235" s="1" t="str">
        <f t="shared" si="67"/>
        <v/>
      </c>
    </row>
    <row r="236" spans="1:41">
      <c r="A236" t="s">
        <v>888</v>
      </c>
      <c r="B236" t="s">
        <v>667</v>
      </c>
      <c r="C236" t="s">
        <v>889</v>
      </c>
      <c r="D236">
        <v>1460</v>
      </c>
      <c r="E236">
        <v>414</v>
      </c>
      <c r="F236">
        <v>0</v>
      </c>
      <c r="G236">
        <v>3</v>
      </c>
      <c r="H236">
        <v>1</v>
      </c>
      <c r="L236" t="s">
        <v>890</v>
      </c>
      <c r="M236" t="s">
        <v>891</v>
      </c>
      <c r="N236" t="s">
        <v>671</v>
      </c>
      <c r="O236">
        <v>0</v>
      </c>
      <c r="P236" t="s">
        <v>420</v>
      </c>
      <c r="Q236" t="s">
        <v>374</v>
      </c>
      <c r="R236">
        <v>3136</v>
      </c>
      <c r="S236" t="s">
        <v>891</v>
      </c>
      <c r="U236" t="s">
        <v>83</v>
      </c>
      <c r="V236" t="s">
        <v>421</v>
      </c>
      <c r="W236">
        <v>12278227</v>
      </c>
      <c r="X236" t="s">
        <v>698</v>
      </c>
      <c r="Y236">
        <f t="shared" si="53"/>
        <v>1.81332</v>
      </c>
      <c r="Z236">
        <f t="shared" si="54"/>
        <v>11.244</v>
      </c>
      <c r="AA236">
        <f t="shared" si="55"/>
        <v>4.38</v>
      </c>
      <c r="AB236" s="2">
        <f t="shared" si="56"/>
        <v>19</v>
      </c>
      <c r="AC236" s="2">
        <f t="shared" si="57"/>
        <v>13</v>
      </c>
      <c r="AD236" s="2">
        <f t="shared" si="58"/>
        <v>0</v>
      </c>
      <c r="AE236" s="2">
        <f t="shared" si="59"/>
        <v>16</v>
      </c>
      <c r="AF236" s="2">
        <f t="shared" si="60"/>
        <v>10</v>
      </c>
      <c r="AG236" s="2">
        <f t="shared" si="61"/>
        <v>0</v>
      </c>
      <c r="AH236" s="2">
        <f t="shared" si="62"/>
        <v>0</v>
      </c>
      <c r="AI236" s="1">
        <f t="shared" si="63"/>
        <v>404.78399999999999</v>
      </c>
      <c r="AJ236" s="1">
        <f t="shared" si="64"/>
        <v>262.8</v>
      </c>
      <c r="AK236" s="1" t="str">
        <f t="shared" si="65"/>
        <v/>
      </c>
      <c r="AL236" s="1">
        <f t="shared" si="66"/>
        <v>720</v>
      </c>
      <c r="AM236" s="1">
        <f t="shared" si="51"/>
        <v>390</v>
      </c>
      <c r="AN236" s="5">
        <f t="shared" si="52"/>
        <v>0</v>
      </c>
      <c r="AO236" s="1" t="str">
        <f t="shared" si="67"/>
        <v/>
      </c>
    </row>
    <row r="237" spans="1:41">
      <c r="A237" t="s">
        <v>892</v>
      </c>
      <c r="B237" t="s">
        <v>667</v>
      </c>
      <c r="C237" t="s">
        <v>893</v>
      </c>
      <c r="D237">
        <v>355</v>
      </c>
      <c r="E237">
        <v>374</v>
      </c>
      <c r="F237">
        <v>0</v>
      </c>
      <c r="G237">
        <v>3</v>
      </c>
      <c r="K237">
        <v>1</v>
      </c>
      <c r="L237" t="s">
        <v>892</v>
      </c>
      <c r="M237" t="s">
        <v>894</v>
      </c>
      <c r="N237" t="s">
        <v>671</v>
      </c>
      <c r="O237">
        <v>0</v>
      </c>
      <c r="P237" t="s">
        <v>420</v>
      </c>
      <c r="Q237" t="s">
        <v>374</v>
      </c>
      <c r="R237">
        <v>3136</v>
      </c>
      <c r="S237" t="s">
        <v>894</v>
      </c>
      <c r="U237" t="s">
        <v>83</v>
      </c>
      <c r="V237" t="s">
        <v>421</v>
      </c>
      <c r="W237">
        <v>12278224</v>
      </c>
      <c r="X237" t="s">
        <v>698</v>
      </c>
      <c r="Y237">
        <f t="shared" si="53"/>
        <v>0.39831</v>
      </c>
      <c r="Z237">
        <f t="shared" si="54"/>
        <v>4.3739999999999997</v>
      </c>
      <c r="AA237">
        <f t="shared" si="55"/>
        <v>1.1219999999999999</v>
      </c>
      <c r="AB237" s="2">
        <f t="shared" si="56"/>
        <v>16</v>
      </c>
      <c r="AC237" s="2">
        <f t="shared" si="57"/>
        <v>13</v>
      </c>
      <c r="AD237" s="2">
        <f t="shared" si="58"/>
        <v>0</v>
      </c>
      <c r="AE237" s="2">
        <f t="shared" si="59"/>
        <v>0</v>
      </c>
      <c r="AF237" s="2">
        <f t="shared" si="60"/>
        <v>10</v>
      </c>
      <c r="AG237" s="2">
        <f t="shared" si="61"/>
        <v>0</v>
      </c>
      <c r="AH237" s="2">
        <f t="shared" si="62"/>
        <v>0</v>
      </c>
      <c r="AI237" s="1">
        <f t="shared" si="63"/>
        <v>157.464</v>
      </c>
      <c r="AJ237" s="1">
        <f t="shared" si="64"/>
        <v>67.319999999999993</v>
      </c>
      <c r="AK237" s="1" t="str">
        <f t="shared" si="65"/>
        <v/>
      </c>
      <c r="AL237" s="1" t="str">
        <f t="shared" si="66"/>
        <v/>
      </c>
      <c r="AM237" s="1">
        <f t="shared" si="51"/>
        <v>390</v>
      </c>
      <c r="AN237" s="5">
        <f t="shared" si="52"/>
        <v>0</v>
      </c>
      <c r="AO237" s="1" t="str">
        <f t="shared" si="67"/>
        <v/>
      </c>
    </row>
    <row r="238" spans="1:41">
      <c r="A238" t="s">
        <v>895</v>
      </c>
      <c r="B238" t="s">
        <v>667</v>
      </c>
      <c r="C238" t="s">
        <v>896</v>
      </c>
      <c r="D238">
        <v>355</v>
      </c>
      <c r="E238">
        <v>374</v>
      </c>
      <c r="F238">
        <v>0</v>
      </c>
      <c r="G238">
        <v>1</v>
      </c>
      <c r="K238">
        <v>1</v>
      </c>
      <c r="L238" t="s">
        <v>895</v>
      </c>
      <c r="M238" t="s">
        <v>897</v>
      </c>
      <c r="N238" t="s">
        <v>671</v>
      </c>
      <c r="O238">
        <v>0</v>
      </c>
      <c r="P238" t="s">
        <v>420</v>
      </c>
      <c r="Q238" t="s">
        <v>374</v>
      </c>
      <c r="R238">
        <v>3136</v>
      </c>
      <c r="S238" t="s">
        <v>897</v>
      </c>
      <c r="U238" t="s">
        <v>83</v>
      </c>
      <c r="V238" t="s">
        <v>421</v>
      </c>
      <c r="W238">
        <v>12278221</v>
      </c>
      <c r="X238" t="s">
        <v>698</v>
      </c>
      <c r="Y238">
        <f t="shared" si="53"/>
        <v>0.13277</v>
      </c>
      <c r="Z238">
        <f t="shared" si="54"/>
        <v>1.458</v>
      </c>
      <c r="AA238">
        <f t="shared" si="55"/>
        <v>0.374</v>
      </c>
      <c r="AB238" s="2">
        <f t="shared" si="56"/>
        <v>16</v>
      </c>
      <c r="AC238" s="2">
        <f t="shared" si="57"/>
        <v>13</v>
      </c>
      <c r="AD238" s="2">
        <f t="shared" si="58"/>
        <v>0</v>
      </c>
      <c r="AE238" s="2">
        <f t="shared" si="59"/>
        <v>0</v>
      </c>
      <c r="AF238" s="2">
        <f t="shared" si="60"/>
        <v>10</v>
      </c>
      <c r="AG238" s="2">
        <f t="shared" si="61"/>
        <v>0</v>
      </c>
      <c r="AH238" s="2">
        <f t="shared" si="62"/>
        <v>0</v>
      </c>
      <c r="AI238" s="1">
        <f t="shared" si="63"/>
        <v>52.488</v>
      </c>
      <c r="AJ238" s="1">
        <f t="shared" si="64"/>
        <v>22.44</v>
      </c>
      <c r="AK238" s="1" t="str">
        <f t="shared" si="65"/>
        <v/>
      </c>
      <c r="AL238" s="1" t="str">
        <f t="shared" si="66"/>
        <v/>
      </c>
      <c r="AM238" s="1">
        <f t="shared" si="51"/>
        <v>130</v>
      </c>
      <c r="AN238" s="5">
        <f t="shared" si="52"/>
        <v>0</v>
      </c>
      <c r="AO238" s="1" t="str">
        <f t="shared" si="67"/>
        <v/>
      </c>
    </row>
    <row r="239" spans="1:41">
      <c r="A239" t="s">
        <v>898</v>
      </c>
      <c r="B239" t="s">
        <v>667</v>
      </c>
      <c r="C239" t="s">
        <v>899</v>
      </c>
      <c r="D239">
        <v>490</v>
      </c>
      <c r="E239">
        <v>414</v>
      </c>
      <c r="F239">
        <v>0</v>
      </c>
      <c r="G239">
        <v>1</v>
      </c>
      <c r="H239">
        <v>1</v>
      </c>
      <c r="L239" t="s">
        <v>900</v>
      </c>
      <c r="M239" t="s">
        <v>215</v>
      </c>
      <c r="N239" t="s">
        <v>671</v>
      </c>
      <c r="O239">
        <v>0</v>
      </c>
      <c r="P239" t="s">
        <v>420</v>
      </c>
      <c r="Q239" t="s">
        <v>374</v>
      </c>
      <c r="R239">
        <v>3136</v>
      </c>
      <c r="S239" t="s">
        <v>215</v>
      </c>
      <c r="U239" t="s">
        <v>83</v>
      </c>
      <c r="V239" t="s">
        <v>421</v>
      </c>
      <c r="W239">
        <v>12278214</v>
      </c>
      <c r="X239" t="s">
        <v>698</v>
      </c>
      <c r="Y239">
        <f t="shared" si="53"/>
        <v>0.20286000000000001</v>
      </c>
      <c r="Z239">
        <f t="shared" si="54"/>
        <v>1.8080000000000001</v>
      </c>
      <c r="AA239">
        <f t="shared" si="55"/>
        <v>0.49</v>
      </c>
      <c r="AB239" s="2">
        <f t="shared" si="56"/>
        <v>16</v>
      </c>
      <c r="AC239" s="2">
        <f t="shared" si="57"/>
        <v>13</v>
      </c>
      <c r="AD239" s="2">
        <f t="shared" si="58"/>
        <v>0</v>
      </c>
      <c r="AE239" s="2">
        <f t="shared" si="59"/>
        <v>0</v>
      </c>
      <c r="AF239" s="2">
        <f t="shared" si="60"/>
        <v>10</v>
      </c>
      <c r="AG239" s="2">
        <f t="shared" si="61"/>
        <v>0</v>
      </c>
      <c r="AH239" s="2">
        <f t="shared" si="62"/>
        <v>0</v>
      </c>
      <c r="AI239" s="1">
        <f t="shared" si="63"/>
        <v>65.088000000000008</v>
      </c>
      <c r="AJ239" s="1">
        <f t="shared" si="64"/>
        <v>29.4</v>
      </c>
      <c r="AK239" s="1" t="str">
        <f t="shared" si="65"/>
        <v/>
      </c>
      <c r="AL239" s="1" t="str">
        <f t="shared" si="66"/>
        <v/>
      </c>
      <c r="AM239" s="1">
        <f t="shared" si="51"/>
        <v>130</v>
      </c>
      <c r="AN239" s="5">
        <f t="shared" si="52"/>
        <v>0</v>
      </c>
      <c r="AO239" s="1" t="str">
        <f t="shared" si="67"/>
        <v/>
      </c>
    </row>
    <row r="240" spans="1:41">
      <c r="A240" t="s">
        <v>901</v>
      </c>
      <c r="B240" t="s">
        <v>667</v>
      </c>
      <c r="C240" t="s">
        <v>902</v>
      </c>
      <c r="D240">
        <v>798</v>
      </c>
      <c r="E240">
        <v>498</v>
      </c>
      <c r="F240">
        <v>0</v>
      </c>
      <c r="G240">
        <v>1</v>
      </c>
      <c r="H240">
        <v>1</v>
      </c>
      <c r="I240">
        <v>1</v>
      </c>
      <c r="J240">
        <v>1</v>
      </c>
      <c r="K240">
        <v>1</v>
      </c>
      <c r="L240" t="s">
        <v>903</v>
      </c>
      <c r="M240" t="s">
        <v>904</v>
      </c>
      <c r="N240" t="s">
        <v>905</v>
      </c>
      <c r="O240">
        <v>0</v>
      </c>
      <c r="P240" t="s">
        <v>289</v>
      </c>
      <c r="Q240" t="s">
        <v>134</v>
      </c>
      <c r="R240">
        <v>10695</v>
      </c>
      <c r="S240" t="s">
        <v>904</v>
      </c>
      <c r="U240" t="s">
        <v>290</v>
      </c>
      <c r="V240" t="s">
        <v>291</v>
      </c>
      <c r="W240">
        <v>12278049</v>
      </c>
      <c r="X240" t="s">
        <v>680</v>
      </c>
      <c r="Y240">
        <f t="shared" si="53"/>
        <v>0.39740399999999998</v>
      </c>
      <c r="Z240">
        <f t="shared" si="54"/>
        <v>2.5920000000000001</v>
      </c>
      <c r="AA240">
        <f t="shared" si="55"/>
        <v>2.5920000000000001</v>
      </c>
      <c r="AB240" s="2">
        <f t="shared" si="56"/>
        <v>15</v>
      </c>
      <c r="AC240" s="2">
        <f t="shared" si="57"/>
        <v>12</v>
      </c>
      <c r="AD240" s="2">
        <f t="shared" si="58"/>
        <v>0</v>
      </c>
      <c r="AE240" s="2">
        <f t="shared" si="59"/>
        <v>0</v>
      </c>
      <c r="AF240" s="2">
        <f t="shared" si="60"/>
        <v>9</v>
      </c>
      <c r="AG240" s="2">
        <f t="shared" si="61"/>
        <v>0</v>
      </c>
      <c r="AH240" s="2">
        <f t="shared" si="62"/>
        <v>0</v>
      </c>
      <c r="AI240" s="1">
        <f t="shared" si="63"/>
        <v>93.311999999999998</v>
      </c>
      <c r="AJ240" s="1">
        <f t="shared" si="64"/>
        <v>155.52000000000001</v>
      </c>
      <c r="AK240" s="1" t="str">
        <f t="shared" si="65"/>
        <v/>
      </c>
      <c r="AL240" s="1" t="str">
        <f t="shared" si="66"/>
        <v/>
      </c>
      <c r="AM240" s="1">
        <f t="shared" si="51"/>
        <v>130</v>
      </c>
      <c r="AN240" s="5">
        <f t="shared" si="52"/>
        <v>0</v>
      </c>
      <c r="AO240" s="1" t="str">
        <f t="shared" si="67"/>
        <v/>
      </c>
    </row>
    <row r="241" spans="1:41">
      <c r="A241" t="s">
        <v>906</v>
      </c>
      <c r="B241" t="s">
        <v>667</v>
      </c>
      <c r="C241" t="s">
        <v>907</v>
      </c>
      <c r="D241">
        <v>798</v>
      </c>
      <c r="E241">
        <v>498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1</v>
      </c>
      <c r="L241" t="s">
        <v>908</v>
      </c>
      <c r="M241" t="s">
        <v>909</v>
      </c>
      <c r="N241" t="s">
        <v>905</v>
      </c>
      <c r="O241">
        <v>0</v>
      </c>
      <c r="P241" t="s">
        <v>289</v>
      </c>
      <c r="Q241" t="s">
        <v>134</v>
      </c>
      <c r="R241">
        <v>10695</v>
      </c>
      <c r="S241" t="s">
        <v>909</v>
      </c>
      <c r="U241" t="s">
        <v>290</v>
      </c>
      <c r="V241" t="s">
        <v>291</v>
      </c>
      <c r="W241">
        <v>12278046</v>
      </c>
      <c r="X241" t="s">
        <v>680</v>
      </c>
      <c r="Y241">
        <f t="shared" si="53"/>
        <v>0.39740399999999998</v>
      </c>
      <c r="Z241">
        <f t="shared" si="54"/>
        <v>2.5920000000000001</v>
      </c>
      <c r="AA241">
        <f t="shared" si="55"/>
        <v>2.5920000000000001</v>
      </c>
      <c r="AB241" s="2">
        <f t="shared" si="56"/>
        <v>15</v>
      </c>
      <c r="AC241" s="2">
        <f t="shared" si="57"/>
        <v>12</v>
      </c>
      <c r="AD241" s="2">
        <f t="shared" si="58"/>
        <v>0</v>
      </c>
      <c r="AE241" s="2">
        <f t="shared" si="59"/>
        <v>0</v>
      </c>
      <c r="AF241" s="2">
        <f t="shared" si="60"/>
        <v>9</v>
      </c>
      <c r="AG241" s="2">
        <f t="shared" si="61"/>
        <v>0</v>
      </c>
      <c r="AH241" s="2">
        <f t="shared" si="62"/>
        <v>0</v>
      </c>
      <c r="AI241" s="1">
        <f t="shared" si="63"/>
        <v>93.311999999999998</v>
      </c>
      <c r="AJ241" s="1">
        <f t="shared" si="64"/>
        <v>155.52000000000001</v>
      </c>
      <c r="AK241" s="1" t="str">
        <f t="shared" si="65"/>
        <v/>
      </c>
      <c r="AL241" s="1" t="str">
        <f t="shared" si="66"/>
        <v/>
      </c>
      <c r="AM241" s="1">
        <f t="shared" si="51"/>
        <v>130</v>
      </c>
      <c r="AN241" s="5">
        <f t="shared" si="52"/>
        <v>0</v>
      </c>
      <c r="AO241" s="1" t="str">
        <f t="shared" si="67"/>
        <v/>
      </c>
    </row>
    <row r="242" spans="1:41">
      <c r="A242" t="s">
        <v>910</v>
      </c>
      <c r="B242" t="s">
        <v>667</v>
      </c>
      <c r="C242" t="s">
        <v>911</v>
      </c>
      <c r="D242">
        <v>798</v>
      </c>
      <c r="E242">
        <v>498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 t="s">
        <v>912</v>
      </c>
      <c r="M242" t="s">
        <v>913</v>
      </c>
      <c r="N242" t="s">
        <v>905</v>
      </c>
      <c r="O242">
        <v>0</v>
      </c>
      <c r="P242" t="s">
        <v>289</v>
      </c>
      <c r="Q242" t="s">
        <v>134</v>
      </c>
      <c r="R242">
        <v>10695</v>
      </c>
      <c r="S242" t="s">
        <v>913</v>
      </c>
      <c r="U242" t="s">
        <v>290</v>
      </c>
      <c r="V242" t="s">
        <v>291</v>
      </c>
      <c r="W242">
        <v>12278129</v>
      </c>
      <c r="X242" t="s">
        <v>681</v>
      </c>
      <c r="Y242">
        <f t="shared" si="53"/>
        <v>0.39740399999999998</v>
      </c>
      <c r="Z242">
        <f t="shared" si="54"/>
        <v>2.5920000000000001</v>
      </c>
      <c r="AA242">
        <f t="shared" si="55"/>
        <v>2.5920000000000001</v>
      </c>
      <c r="AB242" s="2">
        <f t="shared" si="56"/>
        <v>15</v>
      </c>
      <c r="AC242" s="2">
        <f t="shared" si="57"/>
        <v>12</v>
      </c>
      <c r="AD242" s="2">
        <f t="shared" si="58"/>
        <v>0</v>
      </c>
      <c r="AE242" s="2">
        <f t="shared" si="59"/>
        <v>0</v>
      </c>
      <c r="AF242" s="2">
        <f t="shared" si="60"/>
        <v>9</v>
      </c>
      <c r="AG242" s="2">
        <f t="shared" si="61"/>
        <v>0</v>
      </c>
      <c r="AH242" s="2">
        <f t="shared" si="62"/>
        <v>0</v>
      </c>
      <c r="AI242" s="1">
        <f t="shared" si="63"/>
        <v>93.311999999999998</v>
      </c>
      <c r="AJ242" s="1">
        <f t="shared" si="64"/>
        <v>155.52000000000001</v>
      </c>
      <c r="AK242" s="1" t="str">
        <f t="shared" si="65"/>
        <v/>
      </c>
      <c r="AL242" s="1" t="str">
        <f t="shared" si="66"/>
        <v/>
      </c>
      <c r="AM242" s="1">
        <f t="shared" si="51"/>
        <v>130</v>
      </c>
      <c r="AN242" s="5">
        <f t="shared" si="52"/>
        <v>0</v>
      </c>
      <c r="AO242" s="1" t="str">
        <f t="shared" si="67"/>
        <v/>
      </c>
    </row>
    <row r="243" spans="1:41">
      <c r="A243" t="s">
        <v>914</v>
      </c>
      <c r="B243" t="s">
        <v>667</v>
      </c>
      <c r="C243" t="s">
        <v>915</v>
      </c>
      <c r="D243">
        <v>798</v>
      </c>
      <c r="E243">
        <v>498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 t="s">
        <v>916</v>
      </c>
      <c r="M243" t="s">
        <v>917</v>
      </c>
      <c r="N243" t="s">
        <v>905</v>
      </c>
      <c r="O243">
        <v>0</v>
      </c>
      <c r="P243" t="s">
        <v>289</v>
      </c>
      <c r="Q243" t="s">
        <v>134</v>
      </c>
      <c r="R243">
        <v>10695</v>
      </c>
      <c r="S243" t="s">
        <v>917</v>
      </c>
      <c r="U243" t="s">
        <v>290</v>
      </c>
      <c r="V243" t="s">
        <v>291</v>
      </c>
      <c r="W243">
        <v>12278131</v>
      </c>
      <c r="X243" t="s">
        <v>681</v>
      </c>
      <c r="Y243">
        <f t="shared" si="53"/>
        <v>0.39740399999999998</v>
      </c>
      <c r="Z243">
        <f t="shared" si="54"/>
        <v>2.5920000000000001</v>
      </c>
      <c r="AA243">
        <f t="shared" si="55"/>
        <v>2.5920000000000001</v>
      </c>
      <c r="AB243" s="2">
        <f t="shared" si="56"/>
        <v>15</v>
      </c>
      <c r="AC243" s="2">
        <f t="shared" si="57"/>
        <v>12</v>
      </c>
      <c r="AD243" s="2">
        <f t="shared" si="58"/>
        <v>0</v>
      </c>
      <c r="AE243" s="2">
        <f t="shared" si="59"/>
        <v>0</v>
      </c>
      <c r="AF243" s="2">
        <f t="shared" si="60"/>
        <v>9</v>
      </c>
      <c r="AG243" s="2">
        <f t="shared" si="61"/>
        <v>0</v>
      </c>
      <c r="AH243" s="2">
        <f t="shared" si="62"/>
        <v>0</v>
      </c>
      <c r="AI243" s="1">
        <f t="shared" si="63"/>
        <v>93.311999999999998</v>
      </c>
      <c r="AJ243" s="1">
        <f t="shared" si="64"/>
        <v>155.52000000000001</v>
      </c>
      <c r="AK243" s="1" t="str">
        <f t="shared" si="65"/>
        <v/>
      </c>
      <c r="AL243" s="1" t="str">
        <f t="shared" si="66"/>
        <v/>
      </c>
      <c r="AM243" s="1">
        <f t="shared" si="51"/>
        <v>130</v>
      </c>
      <c r="AN243" s="5">
        <f t="shared" si="52"/>
        <v>0</v>
      </c>
      <c r="AO243" s="1" t="str">
        <f t="shared" si="67"/>
        <v/>
      </c>
    </row>
    <row r="244" spans="1:41">
      <c r="A244" t="s">
        <v>918</v>
      </c>
      <c r="B244" t="s">
        <v>667</v>
      </c>
      <c r="C244" t="s">
        <v>919</v>
      </c>
      <c r="D244">
        <v>598</v>
      </c>
      <c r="E244">
        <v>458</v>
      </c>
      <c r="F244">
        <v>0</v>
      </c>
      <c r="G244">
        <v>5</v>
      </c>
      <c r="H244">
        <v>1</v>
      </c>
      <c r="I244">
        <v>1</v>
      </c>
      <c r="J244">
        <v>1</v>
      </c>
      <c r="K244">
        <v>1</v>
      </c>
      <c r="L244" t="s">
        <v>920</v>
      </c>
      <c r="M244" t="s">
        <v>921</v>
      </c>
      <c r="N244" t="s">
        <v>905</v>
      </c>
      <c r="O244">
        <v>0</v>
      </c>
      <c r="P244" t="s">
        <v>406</v>
      </c>
      <c r="Q244" t="s">
        <v>374</v>
      </c>
      <c r="R244">
        <v>3136</v>
      </c>
      <c r="S244" t="s">
        <v>921</v>
      </c>
      <c r="U244" t="s">
        <v>83</v>
      </c>
      <c r="V244" t="s">
        <v>407</v>
      </c>
      <c r="W244">
        <v>12277676</v>
      </c>
      <c r="X244" t="s">
        <v>406</v>
      </c>
      <c r="Y244">
        <f t="shared" si="53"/>
        <v>1.3694200000000001</v>
      </c>
      <c r="Z244">
        <f t="shared" si="54"/>
        <v>10.56</v>
      </c>
      <c r="AA244">
        <f t="shared" si="55"/>
        <v>10.56</v>
      </c>
      <c r="AB244" s="2">
        <f t="shared" si="56"/>
        <v>14</v>
      </c>
      <c r="AC244" s="2">
        <f t="shared" si="57"/>
        <v>11</v>
      </c>
      <c r="AD244" s="2">
        <f t="shared" si="58"/>
        <v>0</v>
      </c>
      <c r="AE244" s="2">
        <f t="shared" si="59"/>
        <v>0</v>
      </c>
      <c r="AF244" s="2">
        <f t="shared" si="60"/>
        <v>8</v>
      </c>
      <c r="AG244" s="2">
        <f t="shared" si="61"/>
        <v>0</v>
      </c>
      <c r="AH244" s="2">
        <f t="shared" si="62"/>
        <v>0</v>
      </c>
      <c r="AI244" s="1">
        <f t="shared" si="63"/>
        <v>380.16</v>
      </c>
      <c r="AJ244" s="1">
        <f t="shared" si="64"/>
        <v>633.6</v>
      </c>
      <c r="AK244" s="1" t="str">
        <f t="shared" si="65"/>
        <v/>
      </c>
      <c r="AL244" s="1" t="str">
        <f t="shared" si="66"/>
        <v/>
      </c>
      <c r="AM244" s="1">
        <f t="shared" si="51"/>
        <v>650</v>
      </c>
      <c r="AN244" s="5">
        <f t="shared" si="52"/>
        <v>0</v>
      </c>
      <c r="AO244" s="1" t="str">
        <f t="shared" si="67"/>
        <v/>
      </c>
    </row>
    <row r="245" spans="1:41">
      <c r="A245" t="s">
        <v>922</v>
      </c>
      <c r="B245" t="s">
        <v>667</v>
      </c>
      <c r="C245" t="s">
        <v>923</v>
      </c>
      <c r="D245">
        <v>1998</v>
      </c>
      <c r="E245">
        <v>452</v>
      </c>
      <c r="F245">
        <v>0</v>
      </c>
      <c r="G245">
        <v>1</v>
      </c>
      <c r="H245">
        <v>1</v>
      </c>
      <c r="I245">
        <v>1</v>
      </c>
      <c r="J245">
        <v>1</v>
      </c>
      <c r="K245">
        <v>1</v>
      </c>
      <c r="L245" t="s">
        <v>924</v>
      </c>
      <c r="M245" t="s">
        <v>580</v>
      </c>
      <c r="N245" t="s">
        <v>905</v>
      </c>
      <c r="O245">
        <v>0</v>
      </c>
      <c r="P245" t="s">
        <v>420</v>
      </c>
      <c r="Q245" t="s">
        <v>374</v>
      </c>
      <c r="R245">
        <v>3136</v>
      </c>
      <c r="S245" t="s">
        <v>580</v>
      </c>
      <c r="U245" t="s">
        <v>83</v>
      </c>
      <c r="V245" t="s">
        <v>421</v>
      </c>
      <c r="W245">
        <v>12278242</v>
      </c>
      <c r="X245" t="s">
        <v>925</v>
      </c>
      <c r="Y245">
        <f t="shared" si="53"/>
        <v>0.90309600000000001</v>
      </c>
      <c r="Z245">
        <f t="shared" si="54"/>
        <v>4.9000000000000004</v>
      </c>
      <c r="AA245">
        <f t="shared" si="55"/>
        <v>4.9000000000000004</v>
      </c>
      <c r="AB245" s="2">
        <f t="shared" si="56"/>
        <v>16</v>
      </c>
      <c r="AC245" s="2">
        <f t="shared" si="57"/>
        <v>10</v>
      </c>
      <c r="AD245" s="2">
        <f t="shared" si="58"/>
        <v>0</v>
      </c>
      <c r="AE245" s="2">
        <f t="shared" si="59"/>
        <v>13</v>
      </c>
      <c r="AF245" s="2">
        <f t="shared" si="60"/>
        <v>0</v>
      </c>
      <c r="AG245" s="2">
        <f t="shared" si="61"/>
        <v>0</v>
      </c>
      <c r="AH245" s="2">
        <f t="shared" si="62"/>
        <v>0</v>
      </c>
      <c r="AI245" s="1">
        <f t="shared" si="63"/>
        <v>176.4</v>
      </c>
      <c r="AJ245" s="1">
        <f t="shared" si="64"/>
        <v>294</v>
      </c>
      <c r="AK245" s="1" t="str">
        <f t="shared" si="65"/>
        <v/>
      </c>
      <c r="AL245" s="1">
        <f t="shared" si="66"/>
        <v>240</v>
      </c>
      <c r="AM245" s="1" t="str">
        <f t="shared" si="51"/>
        <v/>
      </c>
      <c r="AN245" s="5">
        <f t="shared" si="52"/>
        <v>0</v>
      </c>
      <c r="AO245" s="1" t="str">
        <f t="shared" si="67"/>
        <v/>
      </c>
    </row>
    <row r="246" spans="1:41">
      <c r="A246" t="s">
        <v>926</v>
      </c>
      <c r="B246" t="s">
        <v>667</v>
      </c>
      <c r="C246" t="s">
        <v>927</v>
      </c>
      <c r="D246">
        <v>1964</v>
      </c>
      <c r="E246">
        <v>732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 t="s">
        <v>928</v>
      </c>
      <c r="M246" t="s">
        <v>929</v>
      </c>
      <c r="N246" t="s">
        <v>905</v>
      </c>
      <c r="O246">
        <v>0</v>
      </c>
      <c r="P246" t="s">
        <v>420</v>
      </c>
      <c r="Q246" t="s">
        <v>374</v>
      </c>
      <c r="R246">
        <v>3136</v>
      </c>
      <c r="S246" t="s">
        <v>929</v>
      </c>
      <c r="U246" t="s">
        <v>83</v>
      </c>
      <c r="V246" t="s">
        <v>421</v>
      </c>
      <c r="W246">
        <v>12278193</v>
      </c>
      <c r="X246" t="s">
        <v>930</v>
      </c>
      <c r="Y246">
        <f t="shared" si="53"/>
        <v>1.437648</v>
      </c>
      <c r="Z246">
        <f t="shared" si="54"/>
        <v>5.3920000000000003</v>
      </c>
      <c r="AA246">
        <f t="shared" si="55"/>
        <v>5.3920000000000003</v>
      </c>
      <c r="AB246" s="2">
        <f t="shared" si="56"/>
        <v>16</v>
      </c>
      <c r="AC246" s="2">
        <f t="shared" si="57"/>
        <v>13</v>
      </c>
      <c r="AD246" s="2">
        <f t="shared" si="58"/>
        <v>0</v>
      </c>
      <c r="AE246" s="2">
        <f t="shared" si="59"/>
        <v>0</v>
      </c>
      <c r="AF246" s="2">
        <f t="shared" si="60"/>
        <v>10</v>
      </c>
      <c r="AG246" s="2">
        <f t="shared" si="61"/>
        <v>0</v>
      </c>
      <c r="AH246" s="2">
        <f t="shared" si="62"/>
        <v>0</v>
      </c>
      <c r="AI246" s="1">
        <f t="shared" si="63"/>
        <v>194.11200000000002</v>
      </c>
      <c r="AJ246" s="1">
        <f t="shared" si="64"/>
        <v>323.52000000000004</v>
      </c>
      <c r="AK246" s="1" t="str">
        <f t="shared" si="65"/>
        <v/>
      </c>
      <c r="AL246" s="1" t="str">
        <f t="shared" si="66"/>
        <v/>
      </c>
      <c r="AM246" s="1">
        <f t="shared" si="51"/>
        <v>130</v>
      </c>
      <c r="AN246" s="5">
        <f t="shared" si="52"/>
        <v>0</v>
      </c>
      <c r="AO246" s="1" t="str">
        <f t="shared" si="67"/>
        <v/>
      </c>
    </row>
    <row r="247" spans="1:41">
      <c r="A247" t="s">
        <v>931</v>
      </c>
      <c r="B247" t="s">
        <v>667</v>
      </c>
      <c r="C247" t="s">
        <v>932</v>
      </c>
      <c r="D247">
        <v>1964</v>
      </c>
      <c r="E247">
        <v>732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1</v>
      </c>
      <c r="L247" t="s">
        <v>933</v>
      </c>
      <c r="M247" t="s">
        <v>934</v>
      </c>
      <c r="N247" t="s">
        <v>905</v>
      </c>
      <c r="O247">
        <v>0</v>
      </c>
      <c r="P247" t="s">
        <v>420</v>
      </c>
      <c r="Q247" t="s">
        <v>374</v>
      </c>
      <c r="R247">
        <v>3136</v>
      </c>
      <c r="S247" t="s">
        <v>934</v>
      </c>
      <c r="U247" t="s">
        <v>83</v>
      </c>
      <c r="V247" t="s">
        <v>421</v>
      </c>
      <c r="W247">
        <v>12278190</v>
      </c>
      <c r="X247" t="s">
        <v>930</v>
      </c>
      <c r="Y247">
        <f t="shared" si="53"/>
        <v>1.437648</v>
      </c>
      <c r="Z247">
        <f t="shared" si="54"/>
        <v>5.3920000000000003</v>
      </c>
      <c r="AA247">
        <f t="shared" si="55"/>
        <v>5.3920000000000003</v>
      </c>
      <c r="AB247" s="2">
        <f t="shared" si="56"/>
        <v>16</v>
      </c>
      <c r="AC247" s="2">
        <f t="shared" si="57"/>
        <v>13</v>
      </c>
      <c r="AD247" s="2">
        <f t="shared" si="58"/>
        <v>0</v>
      </c>
      <c r="AE247" s="2">
        <f t="shared" si="59"/>
        <v>0</v>
      </c>
      <c r="AF247" s="2">
        <f t="shared" si="60"/>
        <v>10</v>
      </c>
      <c r="AG247" s="2">
        <f t="shared" si="61"/>
        <v>0</v>
      </c>
      <c r="AH247" s="2">
        <f t="shared" si="62"/>
        <v>0</v>
      </c>
      <c r="AI247" s="1">
        <f t="shared" si="63"/>
        <v>194.11200000000002</v>
      </c>
      <c r="AJ247" s="1">
        <f t="shared" si="64"/>
        <v>323.52000000000004</v>
      </c>
      <c r="AK247" s="1" t="str">
        <f t="shared" si="65"/>
        <v/>
      </c>
      <c r="AL247" s="1" t="str">
        <f t="shared" si="66"/>
        <v/>
      </c>
      <c r="AM247" s="1">
        <f t="shared" si="51"/>
        <v>130</v>
      </c>
      <c r="AN247" s="5">
        <f t="shared" si="52"/>
        <v>0</v>
      </c>
      <c r="AO247" s="1" t="str">
        <f t="shared" si="67"/>
        <v/>
      </c>
    </row>
    <row r="248" spans="1:41">
      <c r="A248" t="s">
        <v>935</v>
      </c>
      <c r="B248" t="s">
        <v>667</v>
      </c>
      <c r="C248" t="s">
        <v>936</v>
      </c>
      <c r="D248">
        <v>1998</v>
      </c>
      <c r="E248">
        <v>452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1</v>
      </c>
      <c r="L248" t="s">
        <v>937</v>
      </c>
      <c r="M248" t="s">
        <v>605</v>
      </c>
      <c r="N248" t="s">
        <v>905</v>
      </c>
      <c r="O248">
        <v>0</v>
      </c>
      <c r="P248" t="s">
        <v>420</v>
      </c>
      <c r="Q248" t="s">
        <v>374</v>
      </c>
      <c r="R248">
        <v>3136</v>
      </c>
      <c r="S248" t="s">
        <v>605</v>
      </c>
      <c r="U248" t="s">
        <v>83</v>
      </c>
      <c r="V248" t="s">
        <v>421</v>
      </c>
      <c r="W248">
        <v>12278244</v>
      </c>
      <c r="X248" t="s">
        <v>925</v>
      </c>
      <c r="Y248">
        <f t="shared" si="53"/>
        <v>0.90309600000000001</v>
      </c>
      <c r="Z248">
        <f t="shared" si="54"/>
        <v>4.9000000000000004</v>
      </c>
      <c r="AA248">
        <f t="shared" si="55"/>
        <v>4.9000000000000004</v>
      </c>
      <c r="AB248" s="2">
        <f t="shared" si="56"/>
        <v>16</v>
      </c>
      <c r="AC248" s="2">
        <f t="shared" si="57"/>
        <v>10</v>
      </c>
      <c r="AD248" s="2">
        <f t="shared" si="58"/>
        <v>0</v>
      </c>
      <c r="AE248" s="2">
        <f t="shared" si="59"/>
        <v>13</v>
      </c>
      <c r="AF248" s="2">
        <f t="shared" si="60"/>
        <v>0</v>
      </c>
      <c r="AG248" s="2">
        <f t="shared" si="61"/>
        <v>0</v>
      </c>
      <c r="AH248" s="2">
        <f t="shared" si="62"/>
        <v>0</v>
      </c>
      <c r="AI248" s="1">
        <f t="shared" si="63"/>
        <v>176.4</v>
      </c>
      <c r="AJ248" s="1">
        <f t="shared" si="64"/>
        <v>294</v>
      </c>
      <c r="AK248" s="1" t="str">
        <f t="shared" si="65"/>
        <v/>
      </c>
      <c r="AL248" s="1">
        <f t="shared" si="66"/>
        <v>240</v>
      </c>
      <c r="AM248" s="1" t="str">
        <f t="shared" si="51"/>
        <v/>
      </c>
      <c r="AN248" s="5">
        <f t="shared" si="52"/>
        <v>0</v>
      </c>
      <c r="AO248" s="1" t="str">
        <f t="shared" si="67"/>
        <v/>
      </c>
    </row>
    <row r="249" spans="1:41">
      <c r="A249" t="s">
        <v>938</v>
      </c>
      <c r="B249" t="s">
        <v>667</v>
      </c>
      <c r="C249" t="s">
        <v>939</v>
      </c>
      <c r="D249">
        <v>2210</v>
      </c>
      <c r="E249">
        <v>1010</v>
      </c>
      <c r="F249">
        <v>1</v>
      </c>
      <c r="G249">
        <v>2</v>
      </c>
      <c r="H249">
        <v>1</v>
      </c>
      <c r="I249">
        <v>1</v>
      </c>
      <c r="J249">
        <v>1</v>
      </c>
      <c r="K249">
        <v>1</v>
      </c>
      <c r="L249" t="s">
        <v>940</v>
      </c>
      <c r="M249" t="s">
        <v>941</v>
      </c>
      <c r="N249" t="s">
        <v>942</v>
      </c>
      <c r="O249">
        <v>0</v>
      </c>
      <c r="P249" t="s">
        <v>289</v>
      </c>
      <c r="Q249" t="s">
        <v>134</v>
      </c>
      <c r="R249">
        <v>10695</v>
      </c>
      <c r="S249" t="s">
        <v>941</v>
      </c>
      <c r="U249" t="s">
        <v>290</v>
      </c>
      <c r="V249" t="s">
        <v>291</v>
      </c>
      <c r="W249">
        <v>12278123</v>
      </c>
      <c r="X249" t="s">
        <v>292</v>
      </c>
      <c r="Y249">
        <f t="shared" si="53"/>
        <v>4.4641999999999999</v>
      </c>
      <c r="Z249">
        <f t="shared" si="54"/>
        <v>12.88</v>
      </c>
      <c r="AA249">
        <f t="shared" si="55"/>
        <v>12.88</v>
      </c>
      <c r="AB249" s="2">
        <f t="shared" si="56"/>
        <v>12</v>
      </c>
      <c r="AC249" s="2">
        <f t="shared" si="57"/>
        <v>0</v>
      </c>
      <c r="AD249" s="2">
        <f t="shared" si="58"/>
        <v>0</v>
      </c>
      <c r="AE249" s="2">
        <f t="shared" si="59"/>
        <v>0</v>
      </c>
      <c r="AF249" s="2">
        <f t="shared" si="60"/>
        <v>0</v>
      </c>
      <c r="AG249" s="2">
        <f t="shared" si="61"/>
        <v>0</v>
      </c>
      <c r="AH249" s="2">
        <f t="shared" si="62"/>
        <v>0</v>
      </c>
      <c r="AI249" s="1">
        <f t="shared" si="63"/>
        <v>463.68</v>
      </c>
      <c r="AJ249" s="1">
        <f t="shared" si="64"/>
        <v>772.80000000000007</v>
      </c>
      <c r="AK249" s="1" t="str">
        <f t="shared" si="65"/>
        <v/>
      </c>
      <c r="AL249" s="1" t="str">
        <f t="shared" si="66"/>
        <v/>
      </c>
      <c r="AM249" s="1" t="str">
        <f t="shared" si="51"/>
        <v/>
      </c>
      <c r="AN249" s="5">
        <f t="shared" si="52"/>
        <v>0</v>
      </c>
      <c r="AO249" s="1" t="str">
        <f t="shared" si="67"/>
        <v/>
      </c>
    </row>
    <row r="250" spans="1:41">
      <c r="A250" t="s">
        <v>943</v>
      </c>
      <c r="B250" t="s">
        <v>667</v>
      </c>
      <c r="C250" t="s">
        <v>944</v>
      </c>
      <c r="D250">
        <v>566</v>
      </c>
      <c r="E250">
        <v>566</v>
      </c>
      <c r="F250">
        <v>1</v>
      </c>
      <c r="G250">
        <v>1</v>
      </c>
      <c r="L250" t="s">
        <v>945</v>
      </c>
      <c r="M250" t="s">
        <v>946</v>
      </c>
      <c r="N250" t="s">
        <v>942</v>
      </c>
      <c r="O250">
        <v>0</v>
      </c>
      <c r="P250" t="s">
        <v>734</v>
      </c>
      <c r="Q250" t="s">
        <v>134</v>
      </c>
      <c r="R250">
        <v>10695</v>
      </c>
      <c r="S250" t="s">
        <v>946</v>
      </c>
      <c r="U250" t="s">
        <v>135</v>
      </c>
      <c r="V250" t="s">
        <v>735</v>
      </c>
      <c r="W250">
        <v>12278460</v>
      </c>
      <c r="X250" t="s">
        <v>736</v>
      </c>
      <c r="Y250">
        <f t="shared" si="53"/>
        <v>0.32035599999999997</v>
      </c>
      <c r="Z250">
        <f t="shared" si="54"/>
        <v>2.2639999999999998</v>
      </c>
      <c r="AA250">
        <f t="shared" si="55"/>
        <v>0</v>
      </c>
      <c r="AB250" s="2">
        <f t="shared" si="56"/>
        <v>16</v>
      </c>
      <c r="AC250" s="2">
        <f t="shared" si="57"/>
        <v>13</v>
      </c>
      <c r="AD250" s="2">
        <f t="shared" si="58"/>
        <v>0</v>
      </c>
      <c r="AE250" s="2">
        <f t="shared" si="59"/>
        <v>0</v>
      </c>
      <c r="AF250" s="2">
        <f t="shared" si="60"/>
        <v>10</v>
      </c>
      <c r="AG250" s="2">
        <f t="shared" si="61"/>
        <v>0</v>
      </c>
      <c r="AH250" s="2">
        <f t="shared" si="62"/>
        <v>0</v>
      </c>
      <c r="AI250" s="1">
        <f t="shared" si="63"/>
        <v>81.503999999999991</v>
      </c>
      <c r="AJ250" s="1">
        <f t="shared" si="64"/>
        <v>0</v>
      </c>
      <c r="AK250" s="1" t="str">
        <f t="shared" si="65"/>
        <v/>
      </c>
      <c r="AL250" s="1" t="str">
        <f t="shared" si="66"/>
        <v/>
      </c>
      <c r="AM250" s="1">
        <f t="shared" si="51"/>
        <v>130</v>
      </c>
      <c r="AN250" s="5">
        <f t="shared" si="52"/>
        <v>0</v>
      </c>
      <c r="AO250" s="1" t="str">
        <f t="shared" si="67"/>
        <v/>
      </c>
    </row>
    <row r="251" spans="1:41">
      <c r="A251" t="s">
        <v>947</v>
      </c>
      <c r="B251" t="s">
        <v>667</v>
      </c>
      <c r="C251" t="s">
        <v>948</v>
      </c>
      <c r="D251">
        <v>700</v>
      </c>
      <c r="E251">
        <v>246</v>
      </c>
      <c r="F251">
        <v>1</v>
      </c>
      <c r="G251">
        <v>1</v>
      </c>
      <c r="L251" t="s">
        <v>949</v>
      </c>
      <c r="M251" t="s">
        <v>950</v>
      </c>
      <c r="N251" t="s">
        <v>942</v>
      </c>
      <c r="O251">
        <v>0</v>
      </c>
      <c r="P251" t="s">
        <v>806</v>
      </c>
      <c r="Q251" t="s">
        <v>134</v>
      </c>
      <c r="R251">
        <v>10695</v>
      </c>
      <c r="S251" t="s">
        <v>950</v>
      </c>
      <c r="U251" t="s">
        <v>105</v>
      </c>
      <c r="V251" t="s">
        <v>807</v>
      </c>
      <c r="W251">
        <v>12278812</v>
      </c>
      <c r="X251" t="s">
        <v>813</v>
      </c>
      <c r="Y251">
        <f t="shared" si="53"/>
        <v>0.17219999999999999</v>
      </c>
      <c r="Z251">
        <f t="shared" si="54"/>
        <v>1.8919999999999999</v>
      </c>
      <c r="AA251">
        <f t="shared" si="55"/>
        <v>0</v>
      </c>
      <c r="AB251" s="2">
        <f t="shared" si="56"/>
        <v>12</v>
      </c>
      <c r="AC251" s="2">
        <f t="shared" si="57"/>
        <v>0</v>
      </c>
      <c r="AD251" s="2">
        <f t="shared" si="58"/>
        <v>0</v>
      </c>
      <c r="AE251" s="2">
        <f t="shared" si="59"/>
        <v>0</v>
      </c>
      <c r="AF251" s="2">
        <f t="shared" si="60"/>
        <v>9</v>
      </c>
      <c r="AG251" s="2">
        <f t="shared" si="61"/>
        <v>0</v>
      </c>
      <c r="AH251" s="2">
        <f t="shared" si="62"/>
        <v>0</v>
      </c>
      <c r="AI251" s="1">
        <f t="shared" si="63"/>
        <v>68.111999999999995</v>
      </c>
      <c r="AJ251" s="1">
        <f t="shared" si="64"/>
        <v>0</v>
      </c>
      <c r="AK251" s="1" t="str">
        <f t="shared" si="65"/>
        <v/>
      </c>
      <c r="AL251" s="1" t="str">
        <f t="shared" si="66"/>
        <v/>
      </c>
      <c r="AM251" s="1">
        <f t="shared" si="51"/>
        <v>130</v>
      </c>
      <c r="AN251" s="5">
        <f t="shared" si="52"/>
        <v>0</v>
      </c>
      <c r="AO251" s="1" t="str">
        <f t="shared" si="67"/>
        <v/>
      </c>
    </row>
    <row r="252" spans="1:41">
      <c r="A252" t="s">
        <v>951</v>
      </c>
      <c r="B252" t="s">
        <v>667</v>
      </c>
      <c r="C252" t="s">
        <v>952</v>
      </c>
      <c r="D252">
        <v>700</v>
      </c>
      <c r="E252">
        <v>246</v>
      </c>
      <c r="F252">
        <v>1</v>
      </c>
      <c r="G252">
        <v>1</v>
      </c>
      <c r="L252" t="s">
        <v>953</v>
      </c>
      <c r="M252" t="s">
        <v>954</v>
      </c>
      <c r="N252" t="s">
        <v>942</v>
      </c>
      <c r="O252">
        <v>0</v>
      </c>
      <c r="P252" t="s">
        <v>806</v>
      </c>
      <c r="Q252" t="s">
        <v>134</v>
      </c>
      <c r="R252">
        <v>10695</v>
      </c>
      <c r="S252" t="s">
        <v>954</v>
      </c>
      <c r="U252" t="s">
        <v>105</v>
      </c>
      <c r="V252" t="s">
        <v>807</v>
      </c>
      <c r="W252">
        <v>12278770</v>
      </c>
      <c r="X252" t="s">
        <v>826</v>
      </c>
      <c r="Y252">
        <f t="shared" si="53"/>
        <v>0.17219999999999999</v>
      </c>
      <c r="Z252">
        <f t="shared" si="54"/>
        <v>1.8919999999999999</v>
      </c>
      <c r="AA252">
        <f t="shared" si="55"/>
        <v>0</v>
      </c>
      <c r="AB252" s="2">
        <f t="shared" si="56"/>
        <v>12</v>
      </c>
      <c r="AC252" s="2">
        <f t="shared" si="57"/>
        <v>0</v>
      </c>
      <c r="AD252" s="2">
        <f t="shared" si="58"/>
        <v>0</v>
      </c>
      <c r="AE252" s="2">
        <f t="shared" si="59"/>
        <v>0</v>
      </c>
      <c r="AF252" s="2">
        <f t="shared" si="60"/>
        <v>9</v>
      </c>
      <c r="AG252" s="2">
        <f t="shared" si="61"/>
        <v>0</v>
      </c>
      <c r="AH252" s="2">
        <f t="shared" si="62"/>
        <v>0</v>
      </c>
      <c r="AI252" s="1">
        <f t="shared" si="63"/>
        <v>68.111999999999995</v>
      </c>
      <c r="AJ252" s="1">
        <f t="shared" si="64"/>
        <v>0</v>
      </c>
      <c r="AK252" s="1" t="str">
        <f t="shared" si="65"/>
        <v/>
      </c>
      <c r="AL252" s="1" t="str">
        <f t="shared" si="66"/>
        <v/>
      </c>
      <c r="AM252" s="1">
        <f t="shared" si="51"/>
        <v>130</v>
      </c>
      <c r="AN252" s="5">
        <f t="shared" si="52"/>
        <v>0</v>
      </c>
      <c r="AO252" s="1" t="str">
        <f t="shared" si="67"/>
        <v/>
      </c>
    </row>
    <row r="253" spans="1:41">
      <c r="A253" t="s">
        <v>955</v>
      </c>
      <c r="B253" t="s">
        <v>667</v>
      </c>
      <c r="C253" t="s">
        <v>956</v>
      </c>
      <c r="D253">
        <v>556</v>
      </c>
      <c r="E253">
        <v>426</v>
      </c>
      <c r="F253">
        <v>1</v>
      </c>
      <c r="G253">
        <v>5</v>
      </c>
      <c r="L253" t="s">
        <v>957</v>
      </c>
      <c r="M253" t="s">
        <v>849</v>
      </c>
      <c r="N253" t="s">
        <v>942</v>
      </c>
      <c r="O253">
        <v>0</v>
      </c>
      <c r="P253" t="s">
        <v>406</v>
      </c>
      <c r="Q253" t="s">
        <v>374</v>
      </c>
      <c r="R253">
        <v>3136</v>
      </c>
      <c r="S253" t="s">
        <v>849</v>
      </c>
      <c r="U253" t="s">
        <v>83</v>
      </c>
      <c r="V253" t="s">
        <v>407</v>
      </c>
      <c r="W253">
        <v>12277703</v>
      </c>
      <c r="X253" t="s">
        <v>406</v>
      </c>
      <c r="Y253">
        <f t="shared" si="53"/>
        <v>1.18428</v>
      </c>
      <c r="Z253">
        <f t="shared" si="54"/>
        <v>9.82</v>
      </c>
      <c r="AA253">
        <f t="shared" si="55"/>
        <v>0</v>
      </c>
      <c r="AB253" s="2">
        <f t="shared" si="56"/>
        <v>11</v>
      </c>
      <c r="AC253" s="2">
        <f t="shared" si="57"/>
        <v>0</v>
      </c>
      <c r="AD253" s="2">
        <f t="shared" si="58"/>
        <v>0</v>
      </c>
      <c r="AE253" s="2">
        <f t="shared" si="59"/>
        <v>0</v>
      </c>
      <c r="AF253" s="2">
        <f t="shared" si="60"/>
        <v>8</v>
      </c>
      <c r="AG253" s="2">
        <f t="shared" si="61"/>
        <v>0</v>
      </c>
      <c r="AH253" s="2">
        <f t="shared" si="62"/>
        <v>0</v>
      </c>
      <c r="AI253" s="1">
        <f t="shared" si="63"/>
        <v>353.52</v>
      </c>
      <c r="AJ253" s="1">
        <f t="shared" si="64"/>
        <v>0</v>
      </c>
      <c r="AK253" s="1" t="str">
        <f t="shared" si="65"/>
        <v/>
      </c>
      <c r="AL253" s="1" t="str">
        <f t="shared" si="66"/>
        <v/>
      </c>
      <c r="AM253" s="1">
        <f t="shared" si="51"/>
        <v>650</v>
      </c>
      <c r="AN253" s="5">
        <f t="shared" si="52"/>
        <v>0</v>
      </c>
      <c r="AO253" s="1" t="str">
        <f t="shared" si="67"/>
        <v/>
      </c>
    </row>
    <row r="254" spans="1:41">
      <c r="A254" t="s">
        <v>958</v>
      </c>
      <c r="B254" t="s">
        <v>667</v>
      </c>
      <c r="C254" t="s">
        <v>959</v>
      </c>
      <c r="D254">
        <v>1300</v>
      </c>
      <c r="E254">
        <v>448</v>
      </c>
      <c r="F254">
        <v>1</v>
      </c>
      <c r="G254">
        <v>1</v>
      </c>
      <c r="H254">
        <v>1</v>
      </c>
      <c r="L254" t="s">
        <v>960</v>
      </c>
      <c r="M254" t="s">
        <v>961</v>
      </c>
      <c r="N254" t="s">
        <v>942</v>
      </c>
      <c r="O254">
        <v>0</v>
      </c>
      <c r="P254" t="s">
        <v>962</v>
      </c>
      <c r="Q254" t="s">
        <v>134</v>
      </c>
      <c r="R254">
        <v>10695</v>
      </c>
      <c r="S254" t="s">
        <v>961</v>
      </c>
      <c r="U254" t="s">
        <v>963</v>
      </c>
      <c r="V254" t="s">
        <v>964</v>
      </c>
      <c r="W254">
        <v>12276309</v>
      </c>
      <c r="X254" t="s">
        <v>965</v>
      </c>
      <c r="Y254">
        <f t="shared" si="53"/>
        <v>0.58240000000000003</v>
      </c>
      <c r="Z254">
        <f t="shared" si="54"/>
        <v>3.496</v>
      </c>
      <c r="AA254">
        <f t="shared" si="55"/>
        <v>1.3</v>
      </c>
      <c r="AB254" s="2">
        <f t="shared" si="56"/>
        <v>27</v>
      </c>
      <c r="AC254" s="2">
        <f t="shared" si="57"/>
        <v>21</v>
      </c>
      <c r="AD254" s="2">
        <f t="shared" si="58"/>
        <v>0</v>
      </c>
      <c r="AE254" s="2">
        <f t="shared" si="59"/>
        <v>0</v>
      </c>
      <c r="AF254" s="2">
        <f t="shared" si="60"/>
        <v>15</v>
      </c>
      <c r="AG254" s="2">
        <f t="shared" si="61"/>
        <v>0</v>
      </c>
      <c r="AH254" s="2">
        <f t="shared" si="62"/>
        <v>0</v>
      </c>
      <c r="AI254" s="1">
        <f t="shared" si="63"/>
        <v>125.85599999999999</v>
      </c>
      <c r="AJ254" s="1">
        <f t="shared" si="64"/>
        <v>78</v>
      </c>
      <c r="AK254" s="1" t="str">
        <f t="shared" si="65"/>
        <v/>
      </c>
      <c r="AL254" s="1" t="str">
        <f t="shared" si="66"/>
        <v/>
      </c>
      <c r="AM254" s="1">
        <f t="shared" si="51"/>
        <v>130</v>
      </c>
      <c r="AN254" s="5">
        <f t="shared" si="52"/>
        <v>0</v>
      </c>
      <c r="AO254" s="1" t="str">
        <f t="shared" si="67"/>
        <v/>
      </c>
    </row>
    <row r="255" spans="1:41">
      <c r="A255" t="s">
        <v>966</v>
      </c>
      <c r="B255" t="s">
        <v>667</v>
      </c>
      <c r="C255" t="s">
        <v>967</v>
      </c>
      <c r="D255">
        <v>898</v>
      </c>
      <c r="E255">
        <v>598</v>
      </c>
      <c r="F255">
        <v>1</v>
      </c>
      <c r="G255">
        <v>3</v>
      </c>
      <c r="H255">
        <v>1</v>
      </c>
      <c r="I255">
        <v>1</v>
      </c>
      <c r="J255">
        <v>1</v>
      </c>
      <c r="K255">
        <v>1</v>
      </c>
      <c r="L255" t="s">
        <v>968</v>
      </c>
      <c r="M255" t="s">
        <v>969</v>
      </c>
      <c r="N255" t="s">
        <v>942</v>
      </c>
      <c r="O255">
        <v>0</v>
      </c>
      <c r="P255" t="s">
        <v>373</v>
      </c>
      <c r="Q255" t="s">
        <v>374</v>
      </c>
      <c r="R255">
        <v>3136</v>
      </c>
      <c r="S255" t="s">
        <v>969</v>
      </c>
      <c r="U255" t="s">
        <v>83</v>
      </c>
      <c r="V255" t="s">
        <v>375</v>
      </c>
      <c r="W255">
        <v>12276779</v>
      </c>
      <c r="X255" t="s">
        <v>447</v>
      </c>
      <c r="Y255">
        <f t="shared" si="53"/>
        <v>1.6110120000000001</v>
      </c>
      <c r="Z255">
        <f t="shared" si="54"/>
        <v>8.9759999999999991</v>
      </c>
      <c r="AA255">
        <f t="shared" si="55"/>
        <v>8.9759999999999991</v>
      </c>
      <c r="AB255" s="2">
        <f t="shared" si="56"/>
        <v>62</v>
      </c>
      <c r="AC255" s="2">
        <f t="shared" si="57"/>
        <v>48</v>
      </c>
      <c r="AD255" s="2">
        <f t="shared" si="58"/>
        <v>0</v>
      </c>
      <c r="AE255" s="2">
        <f t="shared" si="59"/>
        <v>0</v>
      </c>
      <c r="AF255" s="2">
        <f t="shared" si="60"/>
        <v>41</v>
      </c>
      <c r="AG255" s="2">
        <f t="shared" si="61"/>
        <v>0</v>
      </c>
      <c r="AH255" s="2">
        <f t="shared" si="62"/>
        <v>0</v>
      </c>
      <c r="AI255" s="1">
        <f t="shared" si="63"/>
        <v>323.13599999999997</v>
      </c>
      <c r="AJ255" s="1">
        <f t="shared" si="64"/>
        <v>538.55999999999995</v>
      </c>
      <c r="AK255" s="1" t="str">
        <f t="shared" si="65"/>
        <v/>
      </c>
      <c r="AL255" s="1" t="str">
        <f t="shared" si="66"/>
        <v/>
      </c>
      <c r="AM255" s="1">
        <f t="shared" si="51"/>
        <v>390</v>
      </c>
      <c r="AN255" s="5">
        <f t="shared" si="52"/>
        <v>0</v>
      </c>
      <c r="AO255" s="1" t="str">
        <f t="shared" si="67"/>
        <v/>
      </c>
    </row>
    <row r="256" spans="1:41">
      <c r="A256" t="s">
        <v>966</v>
      </c>
      <c r="B256" t="s">
        <v>667</v>
      </c>
      <c r="C256" t="s">
        <v>970</v>
      </c>
      <c r="D256">
        <v>898</v>
      </c>
      <c r="E256">
        <v>598</v>
      </c>
      <c r="F256">
        <v>1</v>
      </c>
      <c r="G256">
        <v>3</v>
      </c>
      <c r="H256">
        <v>1</v>
      </c>
      <c r="I256">
        <v>1</v>
      </c>
      <c r="J256">
        <v>1</v>
      </c>
      <c r="K256">
        <v>1</v>
      </c>
      <c r="L256" t="s">
        <v>968</v>
      </c>
      <c r="M256" t="s">
        <v>969</v>
      </c>
      <c r="N256" t="s">
        <v>942</v>
      </c>
      <c r="O256">
        <v>0</v>
      </c>
      <c r="P256" t="s">
        <v>378</v>
      </c>
      <c r="Q256" t="s">
        <v>374</v>
      </c>
      <c r="R256">
        <v>3136</v>
      </c>
      <c r="S256" t="s">
        <v>969</v>
      </c>
      <c r="U256" t="s">
        <v>83</v>
      </c>
      <c r="V256" t="s">
        <v>375</v>
      </c>
      <c r="W256">
        <v>12277091</v>
      </c>
      <c r="X256" t="s">
        <v>450</v>
      </c>
      <c r="Y256">
        <f t="shared" si="53"/>
        <v>1.6110120000000001</v>
      </c>
      <c r="Z256">
        <f t="shared" si="54"/>
        <v>8.9759999999999991</v>
      </c>
      <c r="AA256">
        <f t="shared" si="55"/>
        <v>8.9759999999999991</v>
      </c>
      <c r="AB256" s="2">
        <f t="shared" si="56"/>
        <v>60</v>
      </c>
      <c r="AC256" s="2">
        <f t="shared" si="57"/>
        <v>46</v>
      </c>
      <c r="AD256" s="2">
        <f t="shared" si="58"/>
        <v>0</v>
      </c>
      <c r="AE256" s="2">
        <f t="shared" si="59"/>
        <v>0</v>
      </c>
      <c r="AF256" s="2">
        <f t="shared" si="60"/>
        <v>39</v>
      </c>
      <c r="AG256" s="2">
        <f t="shared" si="61"/>
        <v>0</v>
      </c>
      <c r="AH256" s="2">
        <f t="shared" si="62"/>
        <v>0</v>
      </c>
      <c r="AI256" s="1">
        <f t="shared" si="63"/>
        <v>323.13599999999997</v>
      </c>
      <c r="AJ256" s="1">
        <f t="shared" si="64"/>
        <v>538.55999999999995</v>
      </c>
      <c r="AK256" s="1" t="str">
        <f t="shared" si="65"/>
        <v/>
      </c>
      <c r="AL256" s="1" t="str">
        <f t="shared" si="66"/>
        <v/>
      </c>
      <c r="AM256" s="1">
        <f t="shared" si="51"/>
        <v>390</v>
      </c>
      <c r="AN256" s="5">
        <f t="shared" si="52"/>
        <v>0</v>
      </c>
      <c r="AO256" s="1" t="str">
        <f t="shared" si="67"/>
        <v/>
      </c>
    </row>
    <row r="257" spans="1:41">
      <c r="A257" t="s">
        <v>966</v>
      </c>
      <c r="B257" t="s">
        <v>667</v>
      </c>
      <c r="C257" t="s">
        <v>971</v>
      </c>
      <c r="D257">
        <v>898</v>
      </c>
      <c r="E257">
        <v>598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 t="s">
        <v>968</v>
      </c>
      <c r="M257" t="s">
        <v>969</v>
      </c>
      <c r="N257" t="s">
        <v>942</v>
      </c>
      <c r="O257">
        <v>0</v>
      </c>
      <c r="P257" t="s">
        <v>381</v>
      </c>
      <c r="Q257" t="s">
        <v>374</v>
      </c>
      <c r="R257">
        <v>3136</v>
      </c>
      <c r="S257" t="s">
        <v>969</v>
      </c>
      <c r="U257" t="s">
        <v>83</v>
      </c>
      <c r="V257" t="s">
        <v>375</v>
      </c>
      <c r="W257">
        <v>12277414</v>
      </c>
      <c r="X257" t="s">
        <v>447</v>
      </c>
      <c r="Y257">
        <f t="shared" si="53"/>
        <v>0.53700400000000004</v>
      </c>
      <c r="Z257">
        <f t="shared" si="54"/>
        <v>2.992</v>
      </c>
      <c r="AA257">
        <f t="shared" si="55"/>
        <v>2.992</v>
      </c>
      <c r="AB257" s="2">
        <f t="shared" si="56"/>
        <v>62</v>
      </c>
      <c r="AC257" s="2">
        <f t="shared" si="57"/>
        <v>48</v>
      </c>
      <c r="AD257" s="2">
        <f t="shared" si="58"/>
        <v>0</v>
      </c>
      <c r="AE257" s="2">
        <f t="shared" si="59"/>
        <v>0</v>
      </c>
      <c r="AF257" s="2">
        <f t="shared" si="60"/>
        <v>41</v>
      </c>
      <c r="AG257" s="2">
        <f t="shared" si="61"/>
        <v>0</v>
      </c>
      <c r="AH257" s="2">
        <f t="shared" si="62"/>
        <v>0</v>
      </c>
      <c r="AI257" s="1">
        <f t="shared" si="63"/>
        <v>107.712</v>
      </c>
      <c r="AJ257" s="1">
        <f t="shared" si="64"/>
        <v>179.52</v>
      </c>
      <c r="AK257" s="1" t="str">
        <f t="shared" si="65"/>
        <v/>
      </c>
      <c r="AL257" s="1" t="str">
        <f t="shared" si="66"/>
        <v/>
      </c>
      <c r="AM257" s="1">
        <f t="shared" si="51"/>
        <v>130</v>
      </c>
      <c r="AN257" s="5">
        <f t="shared" si="52"/>
        <v>0</v>
      </c>
      <c r="AO257" s="1" t="str">
        <f t="shared" si="67"/>
        <v/>
      </c>
    </row>
    <row r="258" spans="1:41">
      <c r="A258" t="s">
        <v>972</v>
      </c>
      <c r="B258" t="s">
        <v>667</v>
      </c>
      <c r="C258" t="s">
        <v>973</v>
      </c>
      <c r="D258">
        <v>866</v>
      </c>
      <c r="E258">
        <v>305</v>
      </c>
      <c r="F258">
        <v>1</v>
      </c>
      <c r="G258">
        <v>3</v>
      </c>
      <c r="H258">
        <v>1</v>
      </c>
      <c r="L258" t="s">
        <v>974</v>
      </c>
      <c r="M258" t="s">
        <v>975</v>
      </c>
      <c r="N258" t="s">
        <v>942</v>
      </c>
      <c r="O258">
        <v>0</v>
      </c>
      <c r="P258" t="s">
        <v>373</v>
      </c>
      <c r="Q258" t="s">
        <v>374</v>
      </c>
      <c r="R258">
        <v>3136</v>
      </c>
      <c r="S258" t="s">
        <v>975</v>
      </c>
      <c r="U258" t="s">
        <v>83</v>
      </c>
      <c r="V258" t="s">
        <v>375</v>
      </c>
      <c r="W258">
        <v>12276772</v>
      </c>
      <c r="X258" t="s">
        <v>447</v>
      </c>
      <c r="Y258">
        <f t="shared" si="53"/>
        <v>0.79239000000000004</v>
      </c>
      <c r="Z258">
        <f t="shared" si="54"/>
        <v>7.0259999999999998</v>
      </c>
      <c r="AA258">
        <f t="shared" si="55"/>
        <v>2.5979999999999999</v>
      </c>
      <c r="AB258" s="2">
        <f t="shared" si="56"/>
        <v>48</v>
      </c>
      <c r="AC258" s="2">
        <f t="shared" si="57"/>
        <v>41</v>
      </c>
      <c r="AD258" s="2">
        <f t="shared" si="58"/>
        <v>0</v>
      </c>
      <c r="AE258" s="2">
        <f t="shared" si="59"/>
        <v>0</v>
      </c>
      <c r="AF258" s="2">
        <f t="shared" si="60"/>
        <v>34</v>
      </c>
      <c r="AG258" s="2">
        <f t="shared" si="61"/>
        <v>0</v>
      </c>
      <c r="AH258" s="2">
        <f t="shared" si="62"/>
        <v>0</v>
      </c>
      <c r="AI258" s="1">
        <f t="shared" si="63"/>
        <v>252.93599999999998</v>
      </c>
      <c r="AJ258" s="1">
        <f t="shared" si="64"/>
        <v>155.88</v>
      </c>
      <c r="AK258" s="1" t="str">
        <f t="shared" si="65"/>
        <v/>
      </c>
      <c r="AL258" s="1" t="str">
        <f t="shared" si="66"/>
        <v/>
      </c>
      <c r="AM258" s="1">
        <f t="shared" si="51"/>
        <v>390</v>
      </c>
      <c r="AN258" s="5">
        <f t="shared" si="52"/>
        <v>0</v>
      </c>
      <c r="AO258" s="1" t="str">
        <f t="shared" si="67"/>
        <v/>
      </c>
    </row>
    <row r="259" spans="1:41">
      <c r="A259" t="s">
        <v>972</v>
      </c>
      <c r="B259" t="s">
        <v>667</v>
      </c>
      <c r="C259" t="s">
        <v>976</v>
      </c>
      <c r="D259">
        <v>866</v>
      </c>
      <c r="E259">
        <v>305</v>
      </c>
      <c r="F259">
        <v>1</v>
      </c>
      <c r="G259">
        <v>3</v>
      </c>
      <c r="H259">
        <v>1</v>
      </c>
      <c r="L259" t="s">
        <v>974</v>
      </c>
      <c r="M259" t="s">
        <v>975</v>
      </c>
      <c r="N259" t="s">
        <v>942</v>
      </c>
      <c r="O259">
        <v>0</v>
      </c>
      <c r="P259" t="s">
        <v>378</v>
      </c>
      <c r="Q259" t="s">
        <v>374</v>
      </c>
      <c r="R259">
        <v>3136</v>
      </c>
      <c r="S259" t="s">
        <v>975</v>
      </c>
      <c r="U259" t="s">
        <v>83</v>
      </c>
      <c r="V259" t="s">
        <v>375</v>
      </c>
      <c r="W259">
        <v>12277084</v>
      </c>
      <c r="X259" t="s">
        <v>450</v>
      </c>
      <c r="Y259">
        <f t="shared" si="53"/>
        <v>0.79239000000000004</v>
      </c>
      <c r="Z259">
        <f t="shared" si="54"/>
        <v>7.0259999999999998</v>
      </c>
      <c r="AA259">
        <f t="shared" si="55"/>
        <v>2.5979999999999999</v>
      </c>
      <c r="AB259" s="2">
        <f t="shared" si="56"/>
        <v>46</v>
      </c>
      <c r="AC259" s="2">
        <f t="shared" si="57"/>
        <v>39</v>
      </c>
      <c r="AD259" s="2">
        <f t="shared" si="58"/>
        <v>0</v>
      </c>
      <c r="AE259" s="2">
        <f t="shared" si="59"/>
        <v>0</v>
      </c>
      <c r="AF259" s="2">
        <f t="shared" si="60"/>
        <v>32</v>
      </c>
      <c r="AG259" s="2">
        <f t="shared" si="61"/>
        <v>0</v>
      </c>
      <c r="AH259" s="2">
        <f t="shared" si="62"/>
        <v>0</v>
      </c>
      <c r="AI259" s="1">
        <f t="shared" si="63"/>
        <v>252.93599999999998</v>
      </c>
      <c r="AJ259" s="1">
        <f t="shared" si="64"/>
        <v>155.88</v>
      </c>
      <c r="AK259" s="1" t="str">
        <f t="shared" si="65"/>
        <v/>
      </c>
      <c r="AL259" s="1" t="str">
        <f t="shared" si="66"/>
        <v/>
      </c>
      <c r="AM259" s="1">
        <f t="shared" ref="AM259:AM322" si="68">IF(AF259&gt;0,G259*(130),"")</f>
        <v>390</v>
      </c>
      <c r="AN259" s="5">
        <f t="shared" ref="AN259:AN322" si="69">IF(AG259&gt;0,G259*252)+IF(AG259&gt;0,G259*Y259*662)</f>
        <v>0</v>
      </c>
      <c r="AO259" s="1" t="str">
        <f t="shared" si="67"/>
        <v/>
      </c>
    </row>
    <row r="260" spans="1:41">
      <c r="A260" t="s">
        <v>972</v>
      </c>
      <c r="B260" t="s">
        <v>667</v>
      </c>
      <c r="C260" t="s">
        <v>977</v>
      </c>
      <c r="D260">
        <v>866</v>
      </c>
      <c r="E260">
        <v>305</v>
      </c>
      <c r="F260">
        <v>1</v>
      </c>
      <c r="G260">
        <v>1</v>
      </c>
      <c r="H260">
        <v>1</v>
      </c>
      <c r="L260" t="s">
        <v>974</v>
      </c>
      <c r="M260" t="s">
        <v>975</v>
      </c>
      <c r="N260" t="s">
        <v>942</v>
      </c>
      <c r="O260">
        <v>0</v>
      </c>
      <c r="P260" t="s">
        <v>381</v>
      </c>
      <c r="Q260" t="s">
        <v>374</v>
      </c>
      <c r="R260">
        <v>3136</v>
      </c>
      <c r="S260" t="s">
        <v>975</v>
      </c>
      <c r="U260" t="s">
        <v>83</v>
      </c>
      <c r="V260" t="s">
        <v>375</v>
      </c>
      <c r="W260">
        <v>12277407</v>
      </c>
      <c r="X260" t="s">
        <v>447</v>
      </c>
      <c r="Y260">
        <f t="shared" ref="Y260:Y323" si="70">(D260*E260)*G260/1000000</f>
        <v>0.26412999999999998</v>
      </c>
      <c r="Z260">
        <f t="shared" ref="Z260:Z323" si="71">(((D260+E260)*2)/1000)*G260</f>
        <v>2.3420000000000001</v>
      </c>
      <c r="AA260">
        <f t="shared" ref="AA260:AA323" si="72">(((D260*H260)+(D260*I260)+(E260*J260)+(E260*K260))/1000)*G260</f>
        <v>0.86599999999999999</v>
      </c>
      <c r="AB260" s="2">
        <f t="shared" ref="AB260:AB323" si="73">SEARCH($AB$1,C260)</f>
        <v>48</v>
      </c>
      <c r="AC260" s="2">
        <f t="shared" ref="AC260:AC323" si="74">IFERROR(SEARCH($AC$1,C260),0)</f>
        <v>41</v>
      </c>
      <c r="AD260" s="2">
        <f t="shared" ref="AD260:AD323" si="75">IFERROR(SEARCH($AD$1,C260),0)</f>
        <v>0</v>
      </c>
      <c r="AE260" s="2">
        <f t="shared" ref="AE260:AE323" si="76">IFERROR(SEARCH($AE$1,C260),0)</f>
        <v>0</v>
      </c>
      <c r="AF260" s="2">
        <f t="shared" ref="AF260:AF323" si="77">IFERROR(SEARCH($AF$1,C260),0)</f>
        <v>34</v>
      </c>
      <c r="AG260" s="2">
        <f t="shared" ref="AG260:AG323" si="78">IFERROR(SEARCH($AG$1,C260),0)</f>
        <v>0</v>
      </c>
      <c r="AH260" s="2">
        <f t="shared" ref="AH260:AH323" si="79">IFERROR(SEARCH($AH$1,C260),0)</f>
        <v>0</v>
      </c>
      <c r="AI260" s="1">
        <f t="shared" ref="AI260:AI323" si="80">Z260*36</f>
        <v>84.311999999999998</v>
      </c>
      <c r="AJ260" s="1">
        <f t="shared" ref="AJ260:AJ323" si="81">AA260*60</f>
        <v>51.96</v>
      </c>
      <c r="AK260" s="1" t="str">
        <f t="shared" ref="AK260:AK323" si="82">IF(AD260&gt;0,G260*220,"")</f>
        <v/>
      </c>
      <c r="AL260" s="1" t="str">
        <f t="shared" ref="AL260:AL323" si="83">IF(AE260&gt;0,G260*(240),"")</f>
        <v/>
      </c>
      <c r="AM260" s="1">
        <f t="shared" si="68"/>
        <v>130</v>
      </c>
      <c r="AN260" s="5">
        <f t="shared" si="69"/>
        <v>0</v>
      </c>
      <c r="AO260" s="1" t="str">
        <f t="shared" ref="AO260:AO323" si="84">IF(AH260&gt;0,G260*4800,"")</f>
        <v/>
      </c>
    </row>
    <row r="261" spans="1:41">
      <c r="A261" t="s">
        <v>978</v>
      </c>
      <c r="B261" t="s">
        <v>667</v>
      </c>
      <c r="C261" t="s">
        <v>979</v>
      </c>
      <c r="D261">
        <v>866</v>
      </c>
      <c r="E261">
        <v>59</v>
      </c>
      <c r="F261">
        <v>1</v>
      </c>
      <c r="G261">
        <v>3</v>
      </c>
      <c r="H261">
        <v>1</v>
      </c>
      <c r="L261" t="s">
        <v>980</v>
      </c>
      <c r="M261" t="s">
        <v>981</v>
      </c>
      <c r="N261" t="s">
        <v>942</v>
      </c>
      <c r="O261">
        <v>0</v>
      </c>
      <c r="P261" t="s">
        <v>373</v>
      </c>
      <c r="Q261" t="s">
        <v>374</v>
      </c>
      <c r="R261">
        <v>3136</v>
      </c>
      <c r="S261" t="s">
        <v>981</v>
      </c>
      <c r="U261" t="s">
        <v>83</v>
      </c>
      <c r="V261" t="s">
        <v>375</v>
      </c>
      <c r="W261">
        <v>12276774</v>
      </c>
      <c r="X261" t="s">
        <v>447</v>
      </c>
      <c r="Y261">
        <f t="shared" si="70"/>
        <v>0.153282</v>
      </c>
      <c r="Z261">
        <f t="shared" si="71"/>
        <v>5.5500000000000007</v>
      </c>
      <c r="AA261">
        <f t="shared" si="72"/>
        <v>2.5979999999999999</v>
      </c>
      <c r="AB261" s="2">
        <f t="shared" si="73"/>
        <v>48</v>
      </c>
      <c r="AC261" s="2">
        <f t="shared" si="74"/>
        <v>41</v>
      </c>
      <c r="AD261" s="2">
        <f t="shared" si="75"/>
        <v>0</v>
      </c>
      <c r="AE261" s="2">
        <f t="shared" si="76"/>
        <v>0</v>
      </c>
      <c r="AF261" s="2">
        <f t="shared" si="77"/>
        <v>34</v>
      </c>
      <c r="AG261" s="2">
        <f t="shared" si="78"/>
        <v>0</v>
      </c>
      <c r="AH261" s="2">
        <f t="shared" si="79"/>
        <v>0</v>
      </c>
      <c r="AI261" s="1">
        <f t="shared" si="80"/>
        <v>199.8</v>
      </c>
      <c r="AJ261" s="1">
        <f t="shared" si="81"/>
        <v>155.88</v>
      </c>
      <c r="AK261" s="1" t="str">
        <f t="shared" si="82"/>
        <v/>
      </c>
      <c r="AL261" s="1" t="str">
        <f t="shared" si="83"/>
        <v/>
      </c>
      <c r="AM261" s="1">
        <f t="shared" si="68"/>
        <v>390</v>
      </c>
      <c r="AN261" s="5">
        <f t="shared" si="69"/>
        <v>0</v>
      </c>
      <c r="AO261" s="1" t="str">
        <f t="shared" si="84"/>
        <v/>
      </c>
    </row>
    <row r="262" spans="1:41">
      <c r="A262" t="s">
        <v>978</v>
      </c>
      <c r="B262" t="s">
        <v>667</v>
      </c>
      <c r="C262" t="s">
        <v>982</v>
      </c>
      <c r="D262">
        <v>866</v>
      </c>
      <c r="E262">
        <v>59</v>
      </c>
      <c r="F262">
        <v>1</v>
      </c>
      <c r="G262">
        <v>3</v>
      </c>
      <c r="H262">
        <v>1</v>
      </c>
      <c r="L262" t="s">
        <v>980</v>
      </c>
      <c r="M262" t="s">
        <v>981</v>
      </c>
      <c r="N262" t="s">
        <v>942</v>
      </c>
      <c r="O262">
        <v>0</v>
      </c>
      <c r="P262" t="s">
        <v>378</v>
      </c>
      <c r="Q262" t="s">
        <v>374</v>
      </c>
      <c r="R262">
        <v>3136</v>
      </c>
      <c r="S262" t="s">
        <v>981</v>
      </c>
      <c r="U262" t="s">
        <v>83</v>
      </c>
      <c r="V262" t="s">
        <v>375</v>
      </c>
      <c r="W262">
        <v>12277086</v>
      </c>
      <c r="X262" t="s">
        <v>450</v>
      </c>
      <c r="Y262">
        <f t="shared" si="70"/>
        <v>0.153282</v>
      </c>
      <c r="Z262">
        <f t="shared" si="71"/>
        <v>5.5500000000000007</v>
      </c>
      <c r="AA262">
        <f t="shared" si="72"/>
        <v>2.5979999999999999</v>
      </c>
      <c r="AB262" s="2">
        <f t="shared" si="73"/>
        <v>46</v>
      </c>
      <c r="AC262" s="2">
        <f t="shared" si="74"/>
        <v>39</v>
      </c>
      <c r="AD262" s="2">
        <f t="shared" si="75"/>
        <v>0</v>
      </c>
      <c r="AE262" s="2">
        <f t="shared" si="76"/>
        <v>0</v>
      </c>
      <c r="AF262" s="2">
        <f t="shared" si="77"/>
        <v>32</v>
      </c>
      <c r="AG262" s="2">
        <f t="shared" si="78"/>
        <v>0</v>
      </c>
      <c r="AH262" s="2">
        <f t="shared" si="79"/>
        <v>0</v>
      </c>
      <c r="AI262" s="1">
        <f t="shared" si="80"/>
        <v>199.8</v>
      </c>
      <c r="AJ262" s="1">
        <f t="shared" si="81"/>
        <v>155.88</v>
      </c>
      <c r="AK262" s="1" t="str">
        <f t="shared" si="82"/>
        <v/>
      </c>
      <c r="AL262" s="1" t="str">
        <f t="shared" si="83"/>
        <v/>
      </c>
      <c r="AM262" s="1">
        <f t="shared" si="68"/>
        <v>390</v>
      </c>
      <c r="AN262" s="5">
        <f t="shared" si="69"/>
        <v>0</v>
      </c>
      <c r="AO262" s="1" t="str">
        <f t="shared" si="84"/>
        <v/>
      </c>
    </row>
    <row r="263" spans="1:41">
      <c r="A263" t="s">
        <v>978</v>
      </c>
      <c r="B263" t="s">
        <v>667</v>
      </c>
      <c r="C263" t="s">
        <v>983</v>
      </c>
      <c r="D263">
        <v>866</v>
      </c>
      <c r="E263">
        <v>59</v>
      </c>
      <c r="F263">
        <v>1</v>
      </c>
      <c r="G263">
        <v>1</v>
      </c>
      <c r="H263">
        <v>1</v>
      </c>
      <c r="L263" t="s">
        <v>980</v>
      </c>
      <c r="M263" t="s">
        <v>981</v>
      </c>
      <c r="N263" t="s">
        <v>942</v>
      </c>
      <c r="O263">
        <v>0</v>
      </c>
      <c r="P263" t="s">
        <v>381</v>
      </c>
      <c r="Q263" t="s">
        <v>374</v>
      </c>
      <c r="R263">
        <v>3136</v>
      </c>
      <c r="S263" t="s">
        <v>981</v>
      </c>
      <c r="U263" t="s">
        <v>83</v>
      </c>
      <c r="V263" t="s">
        <v>375</v>
      </c>
      <c r="W263">
        <v>12277409</v>
      </c>
      <c r="X263" t="s">
        <v>447</v>
      </c>
      <c r="Y263">
        <f t="shared" si="70"/>
        <v>5.1094000000000001E-2</v>
      </c>
      <c r="Z263">
        <f t="shared" si="71"/>
        <v>1.85</v>
      </c>
      <c r="AA263">
        <f t="shared" si="72"/>
        <v>0.86599999999999999</v>
      </c>
      <c r="AB263" s="2">
        <f t="shared" si="73"/>
        <v>48</v>
      </c>
      <c r="AC263" s="2">
        <f t="shared" si="74"/>
        <v>41</v>
      </c>
      <c r="AD263" s="2">
        <f t="shared" si="75"/>
        <v>0</v>
      </c>
      <c r="AE263" s="2">
        <f t="shared" si="76"/>
        <v>0</v>
      </c>
      <c r="AF263" s="2">
        <f t="shared" si="77"/>
        <v>34</v>
      </c>
      <c r="AG263" s="2">
        <f t="shared" si="78"/>
        <v>0</v>
      </c>
      <c r="AH263" s="2">
        <f t="shared" si="79"/>
        <v>0</v>
      </c>
      <c r="AI263" s="1">
        <f t="shared" si="80"/>
        <v>66.600000000000009</v>
      </c>
      <c r="AJ263" s="1">
        <f t="shared" si="81"/>
        <v>51.96</v>
      </c>
      <c r="AK263" s="1" t="str">
        <f t="shared" si="82"/>
        <v/>
      </c>
      <c r="AL263" s="1" t="str">
        <f t="shared" si="83"/>
        <v/>
      </c>
      <c r="AM263" s="1">
        <f t="shared" si="68"/>
        <v>130</v>
      </c>
      <c r="AN263" s="5">
        <f t="shared" si="69"/>
        <v>0</v>
      </c>
      <c r="AO263" s="1" t="str">
        <f t="shared" si="84"/>
        <v/>
      </c>
    </row>
    <row r="264" spans="1:41">
      <c r="A264" t="s">
        <v>229</v>
      </c>
      <c r="B264" t="s">
        <v>667</v>
      </c>
      <c r="C264" t="s">
        <v>984</v>
      </c>
      <c r="D264">
        <v>1384</v>
      </c>
      <c r="E264">
        <v>199</v>
      </c>
      <c r="F264">
        <v>1</v>
      </c>
      <c r="G264">
        <v>4</v>
      </c>
      <c r="H264">
        <v>1</v>
      </c>
      <c r="L264" t="s">
        <v>231</v>
      </c>
      <c r="M264" t="s">
        <v>232</v>
      </c>
      <c r="N264" t="s">
        <v>942</v>
      </c>
      <c r="O264">
        <v>0</v>
      </c>
      <c r="P264" t="s">
        <v>441</v>
      </c>
      <c r="Q264" t="s">
        <v>374</v>
      </c>
      <c r="R264">
        <v>3136</v>
      </c>
      <c r="S264" t="s">
        <v>232</v>
      </c>
      <c r="U264" t="s">
        <v>83</v>
      </c>
      <c r="V264" t="s">
        <v>234</v>
      </c>
      <c r="W264">
        <v>12278998</v>
      </c>
      <c r="X264" t="s">
        <v>552</v>
      </c>
      <c r="Y264">
        <f t="shared" si="70"/>
        <v>1.101664</v>
      </c>
      <c r="Z264">
        <f t="shared" si="71"/>
        <v>12.664</v>
      </c>
      <c r="AA264">
        <f t="shared" si="72"/>
        <v>5.5359999999999996</v>
      </c>
      <c r="AB264" s="2">
        <f t="shared" si="73"/>
        <v>43</v>
      </c>
      <c r="AC264" s="2">
        <f t="shared" si="74"/>
        <v>29</v>
      </c>
      <c r="AD264" s="2">
        <f t="shared" si="75"/>
        <v>0</v>
      </c>
      <c r="AE264" s="2">
        <f t="shared" si="76"/>
        <v>0</v>
      </c>
      <c r="AF264" s="2">
        <f t="shared" si="77"/>
        <v>22</v>
      </c>
      <c r="AG264" s="2">
        <f t="shared" si="78"/>
        <v>0</v>
      </c>
      <c r="AH264" s="2">
        <f t="shared" si="79"/>
        <v>0</v>
      </c>
      <c r="AI264" s="1">
        <f t="shared" si="80"/>
        <v>455.904</v>
      </c>
      <c r="AJ264" s="1">
        <f t="shared" si="81"/>
        <v>332.15999999999997</v>
      </c>
      <c r="AK264" s="1" t="str">
        <f t="shared" si="82"/>
        <v/>
      </c>
      <c r="AL264" s="1" t="str">
        <f t="shared" si="83"/>
        <v/>
      </c>
      <c r="AM264" s="1">
        <f t="shared" si="68"/>
        <v>520</v>
      </c>
      <c r="AN264" s="5">
        <f t="shared" si="69"/>
        <v>0</v>
      </c>
      <c r="AO264" s="1" t="str">
        <f t="shared" si="84"/>
        <v/>
      </c>
    </row>
    <row r="265" spans="1:41">
      <c r="A265" t="s">
        <v>985</v>
      </c>
      <c r="B265" t="s">
        <v>667</v>
      </c>
      <c r="C265" t="s">
        <v>986</v>
      </c>
      <c r="D265">
        <v>898</v>
      </c>
      <c r="E265">
        <v>598</v>
      </c>
      <c r="F265">
        <v>1</v>
      </c>
      <c r="G265">
        <v>3</v>
      </c>
      <c r="H265">
        <v>1</v>
      </c>
      <c r="I265">
        <v>1</v>
      </c>
      <c r="J265">
        <v>1</v>
      </c>
      <c r="K265">
        <v>1</v>
      </c>
      <c r="L265" t="s">
        <v>987</v>
      </c>
      <c r="M265" t="s">
        <v>988</v>
      </c>
      <c r="N265" t="s">
        <v>942</v>
      </c>
      <c r="O265">
        <v>0</v>
      </c>
      <c r="P265" t="s">
        <v>373</v>
      </c>
      <c r="Q265" t="s">
        <v>374</v>
      </c>
      <c r="R265">
        <v>3136</v>
      </c>
      <c r="S265" t="s">
        <v>988</v>
      </c>
      <c r="U265" t="s">
        <v>83</v>
      </c>
      <c r="V265" t="s">
        <v>375</v>
      </c>
      <c r="W265">
        <v>12276655</v>
      </c>
      <c r="X265" t="s">
        <v>376</v>
      </c>
      <c r="Y265">
        <f t="shared" si="70"/>
        <v>1.6110120000000001</v>
      </c>
      <c r="Z265">
        <f t="shared" si="71"/>
        <v>8.9759999999999991</v>
      </c>
      <c r="AA265">
        <f t="shared" si="72"/>
        <v>8.9759999999999991</v>
      </c>
      <c r="AB265" s="2">
        <f t="shared" si="73"/>
        <v>48</v>
      </c>
      <c r="AC265" s="2">
        <f t="shared" si="74"/>
        <v>41</v>
      </c>
      <c r="AD265" s="2">
        <f t="shared" si="75"/>
        <v>0</v>
      </c>
      <c r="AE265" s="2">
        <f t="shared" si="76"/>
        <v>0</v>
      </c>
      <c r="AF265" s="2">
        <f t="shared" si="77"/>
        <v>34</v>
      </c>
      <c r="AG265" s="2">
        <f t="shared" si="78"/>
        <v>0</v>
      </c>
      <c r="AH265" s="2">
        <f t="shared" si="79"/>
        <v>0</v>
      </c>
      <c r="AI265" s="1">
        <f t="shared" si="80"/>
        <v>323.13599999999997</v>
      </c>
      <c r="AJ265" s="1">
        <f t="shared" si="81"/>
        <v>538.55999999999995</v>
      </c>
      <c r="AK265" s="1" t="str">
        <f t="shared" si="82"/>
        <v/>
      </c>
      <c r="AL265" s="1" t="str">
        <f t="shared" si="83"/>
        <v/>
      </c>
      <c r="AM265" s="1">
        <f t="shared" si="68"/>
        <v>390</v>
      </c>
      <c r="AN265" s="5">
        <f t="shared" si="69"/>
        <v>0</v>
      </c>
      <c r="AO265" s="1" t="str">
        <f t="shared" si="84"/>
        <v/>
      </c>
    </row>
    <row r="266" spans="1:41">
      <c r="A266" t="s">
        <v>989</v>
      </c>
      <c r="B266" t="s">
        <v>667</v>
      </c>
      <c r="C266" t="s">
        <v>990</v>
      </c>
      <c r="D266">
        <v>898</v>
      </c>
      <c r="E266">
        <v>598</v>
      </c>
      <c r="F266">
        <v>1</v>
      </c>
      <c r="G266">
        <v>3</v>
      </c>
      <c r="H266">
        <v>1</v>
      </c>
      <c r="I266">
        <v>1</v>
      </c>
      <c r="J266">
        <v>1</v>
      </c>
      <c r="K266">
        <v>1</v>
      </c>
      <c r="L266" t="s">
        <v>987</v>
      </c>
      <c r="M266" t="s">
        <v>988</v>
      </c>
      <c r="N266" t="s">
        <v>942</v>
      </c>
      <c r="O266">
        <v>0</v>
      </c>
      <c r="P266" t="s">
        <v>378</v>
      </c>
      <c r="Q266" t="s">
        <v>374</v>
      </c>
      <c r="R266">
        <v>3136</v>
      </c>
      <c r="S266" t="s">
        <v>988</v>
      </c>
      <c r="U266" t="s">
        <v>83</v>
      </c>
      <c r="V266" t="s">
        <v>375</v>
      </c>
      <c r="W266">
        <v>12277080</v>
      </c>
      <c r="X266" t="s">
        <v>379</v>
      </c>
      <c r="Y266">
        <f t="shared" si="70"/>
        <v>1.6110120000000001</v>
      </c>
      <c r="Z266">
        <f t="shared" si="71"/>
        <v>8.9759999999999991</v>
      </c>
      <c r="AA266">
        <f t="shared" si="72"/>
        <v>8.9759999999999991</v>
      </c>
      <c r="AB266" s="2">
        <f t="shared" si="73"/>
        <v>51</v>
      </c>
      <c r="AC266" s="2">
        <f t="shared" si="74"/>
        <v>44</v>
      </c>
      <c r="AD266" s="2">
        <f t="shared" si="75"/>
        <v>0</v>
      </c>
      <c r="AE266" s="2">
        <f t="shared" si="76"/>
        <v>0</v>
      </c>
      <c r="AF266" s="2">
        <f t="shared" si="77"/>
        <v>34</v>
      </c>
      <c r="AG266" s="2">
        <f t="shared" si="78"/>
        <v>0</v>
      </c>
      <c r="AH266" s="2">
        <f t="shared" si="79"/>
        <v>0</v>
      </c>
      <c r="AI266" s="1">
        <f t="shared" si="80"/>
        <v>323.13599999999997</v>
      </c>
      <c r="AJ266" s="1">
        <f t="shared" si="81"/>
        <v>538.55999999999995</v>
      </c>
      <c r="AK266" s="1" t="str">
        <f t="shared" si="82"/>
        <v/>
      </c>
      <c r="AL266" s="1" t="str">
        <f t="shared" si="83"/>
        <v/>
      </c>
      <c r="AM266" s="1">
        <f t="shared" si="68"/>
        <v>390</v>
      </c>
      <c r="AN266" s="5">
        <f t="shared" si="69"/>
        <v>0</v>
      </c>
      <c r="AO266" s="1" t="str">
        <f t="shared" si="84"/>
        <v/>
      </c>
    </row>
    <row r="267" spans="1:41">
      <c r="A267" t="s">
        <v>985</v>
      </c>
      <c r="B267" t="s">
        <v>667</v>
      </c>
      <c r="C267" t="s">
        <v>991</v>
      </c>
      <c r="D267">
        <v>898</v>
      </c>
      <c r="E267">
        <v>598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 t="s">
        <v>987</v>
      </c>
      <c r="M267" t="s">
        <v>988</v>
      </c>
      <c r="N267" t="s">
        <v>942</v>
      </c>
      <c r="O267">
        <v>0</v>
      </c>
      <c r="P267" t="s">
        <v>381</v>
      </c>
      <c r="Q267" t="s">
        <v>374</v>
      </c>
      <c r="R267">
        <v>3136</v>
      </c>
      <c r="S267" t="s">
        <v>988</v>
      </c>
      <c r="U267" t="s">
        <v>83</v>
      </c>
      <c r="V267" t="s">
        <v>375</v>
      </c>
      <c r="W267">
        <v>12277288</v>
      </c>
      <c r="X267" t="s">
        <v>376</v>
      </c>
      <c r="Y267">
        <f t="shared" si="70"/>
        <v>0.53700400000000004</v>
      </c>
      <c r="Z267">
        <f t="shared" si="71"/>
        <v>2.992</v>
      </c>
      <c r="AA267">
        <f t="shared" si="72"/>
        <v>2.992</v>
      </c>
      <c r="AB267" s="2">
        <f t="shared" si="73"/>
        <v>48</v>
      </c>
      <c r="AC267" s="2">
        <f t="shared" si="74"/>
        <v>41</v>
      </c>
      <c r="AD267" s="2">
        <f t="shared" si="75"/>
        <v>0</v>
      </c>
      <c r="AE267" s="2">
        <f t="shared" si="76"/>
        <v>0</v>
      </c>
      <c r="AF267" s="2">
        <f t="shared" si="77"/>
        <v>34</v>
      </c>
      <c r="AG267" s="2">
        <f t="shared" si="78"/>
        <v>0</v>
      </c>
      <c r="AH267" s="2">
        <f t="shared" si="79"/>
        <v>0</v>
      </c>
      <c r="AI267" s="1">
        <f t="shared" si="80"/>
        <v>107.712</v>
      </c>
      <c r="AJ267" s="1">
        <f t="shared" si="81"/>
        <v>179.52</v>
      </c>
      <c r="AK267" s="1" t="str">
        <f t="shared" si="82"/>
        <v/>
      </c>
      <c r="AL267" s="1" t="str">
        <f t="shared" si="83"/>
        <v/>
      </c>
      <c r="AM267" s="1">
        <f t="shared" si="68"/>
        <v>130</v>
      </c>
      <c r="AN267" s="5">
        <f t="shared" si="69"/>
        <v>0</v>
      </c>
      <c r="AO267" s="1" t="str">
        <f t="shared" si="84"/>
        <v/>
      </c>
    </row>
    <row r="268" spans="1:41">
      <c r="A268" t="s">
        <v>992</v>
      </c>
      <c r="B268" t="s">
        <v>667</v>
      </c>
      <c r="C268" t="s">
        <v>993</v>
      </c>
      <c r="D268">
        <v>866</v>
      </c>
      <c r="E268">
        <v>73</v>
      </c>
      <c r="F268">
        <v>1</v>
      </c>
      <c r="G268">
        <v>3</v>
      </c>
      <c r="H268">
        <v>1</v>
      </c>
      <c r="I268">
        <v>1</v>
      </c>
      <c r="L268" t="s">
        <v>994</v>
      </c>
      <c r="M268" t="s">
        <v>995</v>
      </c>
      <c r="N268" t="s">
        <v>942</v>
      </c>
      <c r="O268">
        <v>0</v>
      </c>
      <c r="P268" t="s">
        <v>373</v>
      </c>
      <c r="Q268" t="s">
        <v>374</v>
      </c>
      <c r="R268">
        <v>3136</v>
      </c>
      <c r="S268" t="s">
        <v>995</v>
      </c>
      <c r="U268" t="s">
        <v>83</v>
      </c>
      <c r="V268" t="s">
        <v>375</v>
      </c>
      <c r="W268">
        <v>12276678</v>
      </c>
      <c r="X268" t="s">
        <v>376</v>
      </c>
      <c r="Y268">
        <f t="shared" si="70"/>
        <v>0.18965399999999999</v>
      </c>
      <c r="Z268">
        <f t="shared" si="71"/>
        <v>5.6339999999999995</v>
      </c>
      <c r="AA268">
        <f t="shared" si="72"/>
        <v>5.1959999999999997</v>
      </c>
      <c r="AB268" s="2">
        <f t="shared" si="73"/>
        <v>48</v>
      </c>
      <c r="AC268" s="2">
        <f t="shared" si="74"/>
        <v>41</v>
      </c>
      <c r="AD268" s="2">
        <f t="shared" si="75"/>
        <v>0</v>
      </c>
      <c r="AE268" s="2">
        <f t="shared" si="76"/>
        <v>0</v>
      </c>
      <c r="AF268" s="2">
        <f t="shared" si="77"/>
        <v>34</v>
      </c>
      <c r="AG268" s="2">
        <f t="shared" si="78"/>
        <v>0</v>
      </c>
      <c r="AH268" s="2">
        <f t="shared" si="79"/>
        <v>0</v>
      </c>
      <c r="AI268" s="1">
        <f t="shared" si="80"/>
        <v>202.82399999999998</v>
      </c>
      <c r="AJ268" s="1">
        <f t="shared" si="81"/>
        <v>311.76</v>
      </c>
      <c r="AK268" s="1" t="str">
        <f t="shared" si="82"/>
        <v/>
      </c>
      <c r="AL268" s="1" t="str">
        <f t="shared" si="83"/>
        <v/>
      </c>
      <c r="AM268" s="1">
        <f t="shared" si="68"/>
        <v>390</v>
      </c>
      <c r="AN268" s="5">
        <f t="shared" si="69"/>
        <v>0</v>
      </c>
      <c r="AO268" s="1" t="str">
        <f t="shared" si="84"/>
        <v/>
      </c>
    </row>
    <row r="269" spans="1:41">
      <c r="A269" t="s">
        <v>992</v>
      </c>
      <c r="B269" t="s">
        <v>667</v>
      </c>
      <c r="C269" t="s">
        <v>996</v>
      </c>
      <c r="D269">
        <v>866</v>
      </c>
      <c r="E269">
        <v>73</v>
      </c>
      <c r="F269">
        <v>1</v>
      </c>
      <c r="G269">
        <v>3</v>
      </c>
      <c r="H269">
        <v>1</v>
      </c>
      <c r="I269">
        <v>1</v>
      </c>
      <c r="L269" t="s">
        <v>994</v>
      </c>
      <c r="M269" t="s">
        <v>995</v>
      </c>
      <c r="N269" t="s">
        <v>942</v>
      </c>
      <c r="O269">
        <v>0</v>
      </c>
      <c r="P269" t="s">
        <v>378</v>
      </c>
      <c r="Q269" t="s">
        <v>374</v>
      </c>
      <c r="R269">
        <v>3136</v>
      </c>
      <c r="S269" t="s">
        <v>995</v>
      </c>
      <c r="U269" t="s">
        <v>83</v>
      </c>
      <c r="V269" t="s">
        <v>375</v>
      </c>
      <c r="W269">
        <v>12277114</v>
      </c>
      <c r="X269" t="s">
        <v>379</v>
      </c>
      <c r="Y269">
        <f t="shared" si="70"/>
        <v>0.18965399999999999</v>
      </c>
      <c r="Z269">
        <f t="shared" si="71"/>
        <v>5.6339999999999995</v>
      </c>
      <c r="AA269">
        <f t="shared" si="72"/>
        <v>5.1959999999999997</v>
      </c>
      <c r="AB269" s="2">
        <f t="shared" si="73"/>
        <v>48</v>
      </c>
      <c r="AC269" s="2">
        <f t="shared" si="74"/>
        <v>41</v>
      </c>
      <c r="AD269" s="2">
        <f t="shared" si="75"/>
        <v>0</v>
      </c>
      <c r="AE269" s="2">
        <f t="shared" si="76"/>
        <v>0</v>
      </c>
      <c r="AF269" s="2">
        <f t="shared" si="77"/>
        <v>34</v>
      </c>
      <c r="AG269" s="2">
        <f t="shared" si="78"/>
        <v>0</v>
      </c>
      <c r="AH269" s="2">
        <f t="shared" si="79"/>
        <v>0</v>
      </c>
      <c r="AI269" s="1">
        <f t="shared" si="80"/>
        <v>202.82399999999998</v>
      </c>
      <c r="AJ269" s="1">
        <f t="shared" si="81"/>
        <v>311.76</v>
      </c>
      <c r="AK269" s="1" t="str">
        <f t="shared" si="82"/>
        <v/>
      </c>
      <c r="AL269" s="1" t="str">
        <f t="shared" si="83"/>
        <v/>
      </c>
      <c r="AM269" s="1">
        <f t="shared" si="68"/>
        <v>390</v>
      </c>
      <c r="AN269" s="5">
        <f t="shared" si="69"/>
        <v>0</v>
      </c>
      <c r="AO269" s="1" t="str">
        <f t="shared" si="84"/>
        <v/>
      </c>
    </row>
    <row r="270" spans="1:41">
      <c r="A270" t="s">
        <v>992</v>
      </c>
      <c r="B270" t="s">
        <v>667</v>
      </c>
      <c r="C270" t="s">
        <v>997</v>
      </c>
      <c r="D270">
        <v>866</v>
      </c>
      <c r="E270">
        <v>73</v>
      </c>
      <c r="F270">
        <v>1</v>
      </c>
      <c r="G270">
        <v>1</v>
      </c>
      <c r="H270">
        <v>1</v>
      </c>
      <c r="I270">
        <v>1</v>
      </c>
      <c r="L270" t="s">
        <v>994</v>
      </c>
      <c r="M270" t="s">
        <v>995</v>
      </c>
      <c r="N270" t="s">
        <v>942</v>
      </c>
      <c r="O270">
        <v>0</v>
      </c>
      <c r="P270" t="s">
        <v>381</v>
      </c>
      <c r="Q270" t="s">
        <v>374</v>
      </c>
      <c r="R270">
        <v>3136</v>
      </c>
      <c r="S270" t="s">
        <v>995</v>
      </c>
      <c r="U270" t="s">
        <v>83</v>
      </c>
      <c r="V270" t="s">
        <v>375</v>
      </c>
      <c r="W270">
        <v>12277311</v>
      </c>
      <c r="X270" t="s">
        <v>376</v>
      </c>
      <c r="Y270">
        <f t="shared" si="70"/>
        <v>6.3217999999999996E-2</v>
      </c>
      <c r="Z270">
        <f t="shared" si="71"/>
        <v>1.8779999999999999</v>
      </c>
      <c r="AA270">
        <f t="shared" si="72"/>
        <v>1.732</v>
      </c>
      <c r="AB270" s="2">
        <f t="shared" si="73"/>
        <v>48</v>
      </c>
      <c r="AC270" s="2">
        <f t="shared" si="74"/>
        <v>41</v>
      </c>
      <c r="AD270" s="2">
        <f t="shared" si="75"/>
        <v>0</v>
      </c>
      <c r="AE270" s="2">
        <f t="shared" si="76"/>
        <v>0</v>
      </c>
      <c r="AF270" s="2">
        <f t="shared" si="77"/>
        <v>34</v>
      </c>
      <c r="AG270" s="2">
        <f t="shared" si="78"/>
        <v>0</v>
      </c>
      <c r="AH270" s="2">
        <f t="shared" si="79"/>
        <v>0</v>
      </c>
      <c r="AI270" s="1">
        <f t="shared" si="80"/>
        <v>67.60799999999999</v>
      </c>
      <c r="AJ270" s="1">
        <f t="shared" si="81"/>
        <v>103.92</v>
      </c>
      <c r="AK270" s="1" t="str">
        <f t="shared" si="82"/>
        <v/>
      </c>
      <c r="AL270" s="1" t="str">
        <f t="shared" si="83"/>
        <v/>
      </c>
      <c r="AM270" s="1">
        <f t="shared" si="68"/>
        <v>130</v>
      </c>
      <c r="AN270" s="5">
        <f t="shared" si="69"/>
        <v>0</v>
      </c>
      <c r="AO270" s="1" t="str">
        <f t="shared" si="84"/>
        <v/>
      </c>
    </row>
    <row r="271" spans="1:41">
      <c r="A271" t="s">
        <v>998</v>
      </c>
      <c r="B271" t="s">
        <v>667</v>
      </c>
      <c r="C271" t="s">
        <v>999</v>
      </c>
      <c r="D271">
        <v>425</v>
      </c>
      <c r="E271">
        <v>519</v>
      </c>
      <c r="F271">
        <v>1</v>
      </c>
      <c r="G271">
        <v>6</v>
      </c>
      <c r="J271">
        <v>1</v>
      </c>
      <c r="L271" t="s">
        <v>1000</v>
      </c>
      <c r="M271" t="s">
        <v>1001</v>
      </c>
      <c r="N271" t="s">
        <v>942</v>
      </c>
      <c r="O271">
        <v>0</v>
      </c>
      <c r="P271" t="s">
        <v>373</v>
      </c>
      <c r="Q271" t="s">
        <v>374</v>
      </c>
      <c r="R271">
        <v>3136</v>
      </c>
      <c r="S271" t="s">
        <v>1001</v>
      </c>
      <c r="U271" t="s">
        <v>83</v>
      </c>
      <c r="V271" t="s">
        <v>375</v>
      </c>
      <c r="W271">
        <v>12276782</v>
      </c>
      <c r="X271" t="s">
        <v>447</v>
      </c>
      <c r="Y271">
        <f t="shared" si="70"/>
        <v>1.32345</v>
      </c>
      <c r="Z271">
        <f t="shared" si="71"/>
        <v>11.327999999999999</v>
      </c>
      <c r="AA271">
        <f t="shared" si="72"/>
        <v>3.1139999999999999</v>
      </c>
      <c r="AB271" s="2">
        <f t="shared" si="73"/>
        <v>41</v>
      </c>
      <c r="AC271" s="2">
        <f t="shared" si="74"/>
        <v>34</v>
      </c>
      <c r="AD271" s="2">
        <f t="shared" si="75"/>
        <v>0</v>
      </c>
      <c r="AE271" s="2">
        <f t="shared" si="76"/>
        <v>0</v>
      </c>
      <c r="AF271" s="2">
        <f t="shared" si="77"/>
        <v>0</v>
      </c>
      <c r="AG271" s="2">
        <f t="shared" si="78"/>
        <v>0</v>
      </c>
      <c r="AH271" s="2">
        <f t="shared" si="79"/>
        <v>0</v>
      </c>
      <c r="AI271" s="1">
        <f t="shared" si="80"/>
        <v>407.80799999999999</v>
      </c>
      <c r="AJ271" s="1">
        <f t="shared" si="81"/>
        <v>186.84</v>
      </c>
      <c r="AK271" s="1" t="str">
        <f t="shared" si="82"/>
        <v/>
      </c>
      <c r="AL271" s="1" t="str">
        <f t="shared" si="83"/>
        <v/>
      </c>
      <c r="AM271" s="1" t="str">
        <f t="shared" si="68"/>
        <v/>
      </c>
      <c r="AN271" s="5">
        <f t="shared" si="69"/>
        <v>0</v>
      </c>
      <c r="AO271" s="1" t="str">
        <f t="shared" si="84"/>
        <v/>
      </c>
    </row>
    <row r="272" spans="1:41">
      <c r="A272" t="s">
        <v>998</v>
      </c>
      <c r="B272" t="s">
        <v>667</v>
      </c>
      <c r="C272" t="s">
        <v>1002</v>
      </c>
      <c r="D272">
        <v>425</v>
      </c>
      <c r="E272">
        <v>519</v>
      </c>
      <c r="F272">
        <v>1</v>
      </c>
      <c r="G272">
        <v>6</v>
      </c>
      <c r="J272">
        <v>1</v>
      </c>
      <c r="L272" t="s">
        <v>1000</v>
      </c>
      <c r="M272" t="s">
        <v>1001</v>
      </c>
      <c r="N272" t="s">
        <v>942</v>
      </c>
      <c r="O272">
        <v>0</v>
      </c>
      <c r="P272" t="s">
        <v>378</v>
      </c>
      <c r="Q272" t="s">
        <v>374</v>
      </c>
      <c r="R272">
        <v>3136</v>
      </c>
      <c r="S272" t="s">
        <v>1001</v>
      </c>
      <c r="U272" t="s">
        <v>83</v>
      </c>
      <c r="V272" t="s">
        <v>375</v>
      </c>
      <c r="W272">
        <v>12277094</v>
      </c>
      <c r="X272" t="s">
        <v>450</v>
      </c>
      <c r="Y272">
        <f t="shared" si="70"/>
        <v>1.32345</v>
      </c>
      <c r="Z272">
        <f t="shared" si="71"/>
        <v>11.327999999999999</v>
      </c>
      <c r="AA272">
        <f t="shared" si="72"/>
        <v>3.1139999999999999</v>
      </c>
      <c r="AB272" s="2">
        <f t="shared" si="73"/>
        <v>39</v>
      </c>
      <c r="AC272" s="2">
        <f t="shared" si="74"/>
        <v>32</v>
      </c>
      <c r="AD272" s="2">
        <f t="shared" si="75"/>
        <v>0</v>
      </c>
      <c r="AE272" s="2">
        <f t="shared" si="76"/>
        <v>0</v>
      </c>
      <c r="AF272" s="2">
        <f t="shared" si="77"/>
        <v>0</v>
      </c>
      <c r="AG272" s="2">
        <f t="shared" si="78"/>
        <v>0</v>
      </c>
      <c r="AH272" s="2">
        <f t="shared" si="79"/>
        <v>0</v>
      </c>
      <c r="AI272" s="1">
        <f t="shared" si="80"/>
        <v>407.80799999999999</v>
      </c>
      <c r="AJ272" s="1">
        <f t="shared" si="81"/>
        <v>186.84</v>
      </c>
      <c r="AK272" s="1" t="str">
        <f t="shared" si="82"/>
        <v/>
      </c>
      <c r="AL272" s="1" t="str">
        <f t="shared" si="83"/>
        <v/>
      </c>
      <c r="AM272" s="1" t="str">
        <f t="shared" si="68"/>
        <v/>
      </c>
      <c r="AN272" s="5">
        <f t="shared" si="69"/>
        <v>0</v>
      </c>
      <c r="AO272" s="1" t="str">
        <f t="shared" si="84"/>
        <v/>
      </c>
    </row>
    <row r="273" spans="1:41">
      <c r="A273" t="s">
        <v>998</v>
      </c>
      <c r="B273" t="s">
        <v>667</v>
      </c>
      <c r="C273" t="s">
        <v>1003</v>
      </c>
      <c r="D273">
        <v>425</v>
      </c>
      <c r="E273">
        <v>519</v>
      </c>
      <c r="F273">
        <v>1</v>
      </c>
      <c r="G273">
        <v>2</v>
      </c>
      <c r="J273">
        <v>1</v>
      </c>
      <c r="L273" t="s">
        <v>1000</v>
      </c>
      <c r="M273" t="s">
        <v>1001</v>
      </c>
      <c r="N273" t="s">
        <v>942</v>
      </c>
      <c r="O273">
        <v>0</v>
      </c>
      <c r="P273" t="s">
        <v>381</v>
      </c>
      <c r="Q273" t="s">
        <v>374</v>
      </c>
      <c r="R273">
        <v>3136</v>
      </c>
      <c r="S273" t="s">
        <v>1001</v>
      </c>
      <c r="U273" t="s">
        <v>83</v>
      </c>
      <c r="V273" t="s">
        <v>375</v>
      </c>
      <c r="W273">
        <v>12277417</v>
      </c>
      <c r="X273" t="s">
        <v>447</v>
      </c>
      <c r="Y273">
        <f t="shared" si="70"/>
        <v>0.44114999999999999</v>
      </c>
      <c r="Z273">
        <f t="shared" si="71"/>
        <v>3.7759999999999998</v>
      </c>
      <c r="AA273">
        <f t="shared" si="72"/>
        <v>1.038</v>
      </c>
      <c r="AB273" s="2">
        <f t="shared" si="73"/>
        <v>41</v>
      </c>
      <c r="AC273" s="2">
        <f t="shared" si="74"/>
        <v>34</v>
      </c>
      <c r="AD273" s="2">
        <f t="shared" si="75"/>
        <v>0</v>
      </c>
      <c r="AE273" s="2">
        <f t="shared" si="76"/>
        <v>0</v>
      </c>
      <c r="AF273" s="2">
        <f t="shared" si="77"/>
        <v>0</v>
      </c>
      <c r="AG273" s="2">
        <f t="shared" si="78"/>
        <v>0</v>
      </c>
      <c r="AH273" s="2">
        <f t="shared" si="79"/>
        <v>0</v>
      </c>
      <c r="AI273" s="1">
        <f t="shared" si="80"/>
        <v>135.93599999999998</v>
      </c>
      <c r="AJ273" s="1">
        <f t="shared" si="81"/>
        <v>62.28</v>
      </c>
      <c r="AK273" s="1" t="str">
        <f t="shared" si="82"/>
        <v/>
      </c>
      <c r="AL273" s="1" t="str">
        <f t="shared" si="83"/>
        <v/>
      </c>
      <c r="AM273" s="1" t="str">
        <f t="shared" si="68"/>
        <v/>
      </c>
      <c r="AN273" s="5">
        <f t="shared" si="69"/>
        <v>0</v>
      </c>
      <c r="AO273" s="1" t="str">
        <f t="shared" si="84"/>
        <v/>
      </c>
    </row>
    <row r="274" spans="1:41">
      <c r="A274" t="s">
        <v>1004</v>
      </c>
      <c r="B274" t="s">
        <v>667</v>
      </c>
      <c r="C274" t="s">
        <v>1005</v>
      </c>
      <c r="D274">
        <v>559</v>
      </c>
      <c r="E274">
        <v>362</v>
      </c>
      <c r="F274">
        <v>1</v>
      </c>
      <c r="G274">
        <v>3</v>
      </c>
      <c r="J274">
        <v>1</v>
      </c>
      <c r="L274" t="s">
        <v>1006</v>
      </c>
      <c r="M274" t="s">
        <v>1007</v>
      </c>
      <c r="N274" t="s">
        <v>942</v>
      </c>
      <c r="O274">
        <v>0</v>
      </c>
      <c r="P274" t="s">
        <v>373</v>
      </c>
      <c r="Q274" t="s">
        <v>374</v>
      </c>
      <c r="R274">
        <v>3136</v>
      </c>
      <c r="S274" t="s">
        <v>1007</v>
      </c>
      <c r="U274" t="s">
        <v>83</v>
      </c>
      <c r="V274" t="s">
        <v>375</v>
      </c>
      <c r="W274">
        <v>12276657</v>
      </c>
      <c r="X274" t="s">
        <v>376</v>
      </c>
      <c r="Y274">
        <f t="shared" si="70"/>
        <v>0.607074</v>
      </c>
      <c r="Z274">
        <f t="shared" si="71"/>
        <v>5.5259999999999998</v>
      </c>
      <c r="AA274">
        <f t="shared" si="72"/>
        <v>1.0859999999999999</v>
      </c>
      <c r="AB274" s="2">
        <f t="shared" si="73"/>
        <v>41</v>
      </c>
      <c r="AC274" s="2">
        <f t="shared" si="74"/>
        <v>34</v>
      </c>
      <c r="AD274" s="2">
        <f t="shared" si="75"/>
        <v>0</v>
      </c>
      <c r="AE274" s="2">
        <f t="shared" si="76"/>
        <v>0</v>
      </c>
      <c r="AF274" s="2">
        <f t="shared" si="77"/>
        <v>0</v>
      </c>
      <c r="AG274" s="2">
        <f t="shared" si="78"/>
        <v>0</v>
      </c>
      <c r="AH274" s="2">
        <f t="shared" si="79"/>
        <v>0</v>
      </c>
      <c r="AI274" s="1">
        <f t="shared" si="80"/>
        <v>198.93599999999998</v>
      </c>
      <c r="AJ274" s="1">
        <f t="shared" si="81"/>
        <v>65.16</v>
      </c>
      <c r="AK274" s="1" t="str">
        <f t="shared" si="82"/>
        <v/>
      </c>
      <c r="AL274" s="1" t="str">
        <f t="shared" si="83"/>
        <v/>
      </c>
      <c r="AM274" s="1" t="str">
        <f t="shared" si="68"/>
        <v/>
      </c>
      <c r="AN274" s="5">
        <f t="shared" si="69"/>
        <v>0</v>
      </c>
      <c r="AO274" s="1" t="str">
        <f t="shared" si="84"/>
        <v/>
      </c>
    </row>
    <row r="275" spans="1:41">
      <c r="A275" t="s">
        <v>1004</v>
      </c>
      <c r="B275" t="s">
        <v>667</v>
      </c>
      <c r="C275" t="s">
        <v>1008</v>
      </c>
      <c r="D275">
        <v>559</v>
      </c>
      <c r="E275">
        <v>362</v>
      </c>
      <c r="F275">
        <v>1</v>
      </c>
      <c r="G275">
        <v>3</v>
      </c>
      <c r="J275">
        <v>1</v>
      </c>
      <c r="L275" t="s">
        <v>1006</v>
      </c>
      <c r="M275" t="s">
        <v>1007</v>
      </c>
      <c r="N275" t="s">
        <v>942</v>
      </c>
      <c r="O275">
        <v>0</v>
      </c>
      <c r="P275" t="s">
        <v>378</v>
      </c>
      <c r="Q275" t="s">
        <v>374</v>
      </c>
      <c r="R275">
        <v>3136</v>
      </c>
      <c r="S275" t="s">
        <v>1007</v>
      </c>
      <c r="U275" t="s">
        <v>83</v>
      </c>
      <c r="V275" t="s">
        <v>375</v>
      </c>
      <c r="W275">
        <v>12277082</v>
      </c>
      <c r="X275" t="s">
        <v>379</v>
      </c>
      <c r="Y275">
        <f t="shared" si="70"/>
        <v>0.607074</v>
      </c>
      <c r="Z275">
        <f t="shared" si="71"/>
        <v>5.5259999999999998</v>
      </c>
      <c r="AA275">
        <f t="shared" si="72"/>
        <v>1.0859999999999999</v>
      </c>
      <c r="AB275" s="2">
        <f t="shared" si="73"/>
        <v>41</v>
      </c>
      <c r="AC275" s="2">
        <f t="shared" si="74"/>
        <v>34</v>
      </c>
      <c r="AD275" s="2">
        <f t="shared" si="75"/>
        <v>0</v>
      </c>
      <c r="AE275" s="2">
        <f t="shared" si="76"/>
        <v>0</v>
      </c>
      <c r="AF275" s="2">
        <f t="shared" si="77"/>
        <v>0</v>
      </c>
      <c r="AG275" s="2">
        <f t="shared" si="78"/>
        <v>0</v>
      </c>
      <c r="AH275" s="2">
        <f t="shared" si="79"/>
        <v>0</v>
      </c>
      <c r="AI275" s="1">
        <f t="shared" si="80"/>
        <v>198.93599999999998</v>
      </c>
      <c r="AJ275" s="1">
        <f t="shared" si="81"/>
        <v>65.16</v>
      </c>
      <c r="AK275" s="1" t="str">
        <f t="shared" si="82"/>
        <v/>
      </c>
      <c r="AL275" s="1" t="str">
        <f t="shared" si="83"/>
        <v/>
      </c>
      <c r="AM275" s="1" t="str">
        <f t="shared" si="68"/>
        <v/>
      </c>
      <c r="AN275" s="5">
        <f t="shared" si="69"/>
        <v>0</v>
      </c>
      <c r="AO275" s="1" t="str">
        <f t="shared" si="84"/>
        <v/>
      </c>
    </row>
    <row r="276" spans="1:41">
      <c r="A276" t="s">
        <v>1004</v>
      </c>
      <c r="B276" t="s">
        <v>667</v>
      </c>
      <c r="C276" t="s">
        <v>1009</v>
      </c>
      <c r="D276">
        <v>559</v>
      </c>
      <c r="E276">
        <v>362</v>
      </c>
      <c r="F276">
        <v>1</v>
      </c>
      <c r="G276">
        <v>1</v>
      </c>
      <c r="J276">
        <v>1</v>
      </c>
      <c r="L276" t="s">
        <v>1006</v>
      </c>
      <c r="M276" t="s">
        <v>1007</v>
      </c>
      <c r="N276" t="s">
        <v>942</v>
      </c>
      <c r="O276">
        <v>0</v>
      </c>
      <c r="P276" t="s">
        <v>381</v>
      </c>
      <c r="Q276" t="s">
        <v>374</v>
      </c>
      <c r="R276">
        <v>3136</v>
      </c>
      <c r="S276" t="s">
        <v>1007</v>
      </c>
      <c r="U276" t="s">
        <v>83</v>
      </c>
      <c r="V276" t="s">
        <v>375</v>
      </c>
      <c r="W276">
        <v>12277290</v>
      </c>
      <c r="X276" t="s">
        <v>376</v>
      </c>
      <c r="Y276">
        <f t="shared" si="70"/>
        <v>0.20235800000000001</v>
      </c>
      <c r="Z276">
        <f t="shared" si="71"/>
        <v>1.8420000000000001</v>
      </c>
      <c r="AA276">
        <f t="shared" si="72"/>
        <v>0.36199999999999999</v>
      </c>
      <c r="AB276" s="2">
        <f t="shared" si="73"/>
        <v>41</v>
      </c>
      <c r="AC276" s="2">
        <f t="shared" si="74"/>
        <v>34</v>
      </c>
      <c r="AD276" s="2">
        <f t="shared" si="75"/>
        <v>0</v>
      </c>
      <c r="AE276" s="2">
        <f t="shared" si="76"/>
        <v>0</v>
      </c>
      <c r="AF276" s="2">
        <f t="shared" si="77"/>
        <v>0</v>
      </c>
      <c r="AG276" s="2">
        <f t="shared" si="78"/>
        <v>0</v>
      </c>
      <c r="AH276" s="2">
        <f t="shared" si="79"/>
        <v>0</v>
      </c>
      <c r="AI276" s="1">
        <f t="shared" si="80"/>
        <v>66.311999999999998</v>
      </c>
      <c r="AJ276" s="1">
        <f t="shared" si="81"/>
        <v>21.72</v>
      </c>
      <c r="AK276" s="1" t="str">
        <f t="shared" si="82"/>
        <v/>
      </c>
      <c r="AL276" s="1" t="str">
        <f t="shared" si="83"/>
        <v/>
      </c>
      <c r="AM276" s="1" t="str">
        <f t="shared" si="68"/>
        <v/>
      </c>
      <c r="AN276" s="5">
        <f t="shared" si="69"/>
        <v>0</v>
      </c>
      <c r="AO276" s="1" t="str">
        <f t="shared" si="84"/>
        <v/>
      </c>
    </row>
    <row r="277" spans="1:41">
      <c r="A277" t="s">
        <v>1010</v>
      </c>
      <c r="B277" t="s">
        <v>667</v>
      </c>
      <c r="C277" t="s">
        <v>1011</v>
      </c>
      <c r="D277">
        <v>602</v>
      </c>
      <c r="E277">
        <v>598</v>
      </c>
      <c r="F277">
        <v>1</v>
      </c>
      <c r="G277">
        <v>3</v>
      </c>
      <c r="H277">
        <v>1</v>
      </c>
      <c r="I277">
        <v>1</v>
      </c>
      <c r="J277">
        <v>1</v>
      </c>
      <c r="K277">
        <v>1</v>
      </c>
      <c r="L277" t="s">
        <v>1012</v>
      </c>
      <c r="M277" t="s">
        <v>1013</v>
      </c>
      <c r="N277" t="s">
        <v>942</v>
      </c>
      <c r="O277">
        <v>0</v>
      </c>
      <c r="P277" t="s">
        <v>373</v>
      </c>
      <c r="Q277" t="s">
        <v>374</v>
      </c>
      <c r="R277">
        <v>3136</v>
      </c>
      <c r="S277" t="s">
        <v>1013</v>
      </c>
      <c r="U277" t="s">
        <v>83</v>
      </c>
      <c r="V277" t="s">
        <v>375</v>
      </c>
      <c r="W277">
        <v>12276808</v>
      </c>
      <c r="X277" t="s">
        <v>447</v>
      </c>
      <c r="Y277">
        <f t="shared" si="70"/>
        <v>1.0799879999999999</v>
      </c>
      <c r="Z277">
        <f t="shared" si="71"/>
        <v>7.1999999999999993</v>
      </c>
      <c r="AA277">
        <f t="shared" si="72"/>
        <v>7.1999999999999993</v>
      </c>
      <c r="AB277" s="2">
        <f t="shared" si="73"/>
        <v>48</v>
      </c>
      <c r="AC277" s="2">
        <f t="shared" si="74"/>
        <v>41</v>
      </c>
      <c r="AD277" s="2">
        <f t="shared" si="75"/>
        <v>0</v>
      </c>
      <c r="AE277" s="2">
        <f t="shared" si="76"/>
        <v>0</v>
      </c>
      <c r="AF277" s="2">
        <f t="shared" si="77"/>
        <v>34</v>
      </c>
      <c r="AG277" s="2">
        <f t="shared" si="78"/>
        <v>0</v>
      </c>
      <c r="AH277" s="2">
        <f t="shared" si="79"/>
        <v>0</v>
      </c>
      <c r="AI277" s="1">
        <f t="shared" si="80"/>
        <v>259.2</v>
      </c>
      <c r="AJ277" s="1">
        <f t="shared" si="81"/>
        <v>431.99999999999994</v>
      </c>
      <c r="AK277" s="1" t="str">
        <f t="shared" si="82"/>
        <v/>
      </c>
      <c r="AL277" s="1" t="str">
        <f t="shared" si="83"/>
        <v/>
      </c>
      <c r="AM277" s="1">
        <f t="shared" si="68"/>
        <v>390</v>
      </c>
      <c r="AN277" s="5">
        <f t="shared" si="69"/>
        <v>0</v>
      </c>
      <c r="AO277" s="1" t="str">
        <f t="shared" si="84"/>
        <v/>
      </c>
    </row>
    <row r="278" spans="1:41">
      <c r="A278" t="s">
        <v>1014</v>
      </c>
      <c r="B278" t="s">
        <v>667</v>
      </c>
      <c r="C278" t="s">
        <v>1015</v>
      </c>
      <c r="D278">
        <v>602</v>
      </c>
      <c r="E278">
        <v>598</v>
      </c>
      <c r="F278">
        <v>1</v>
      </c>
      <c r="G278">
        <v>3</v>
      </c>
      <c r="H278">
        <v>1</v>
      </c>
      <c r="I278">
        <v>1</v>
      </c>
      <c r="J278">
        <v>1</v>
      </c>
      <c r="K278">
        <v>1</v>
      </c>
      <c r="L278" t="s">
        <v>1012</v>
      </c>
      <c r="M278" t="s">
        <v>1013</v>
      </c>
      <c r="N278" t="s">
        <v>942</v>
      </c>
      <c r="O278">
        <v>0</v>
      </c>
      <c r="P278" t="s">
        <v>373</v>
      </c>
      <c r="Q278" t="s">
        <v>374</v>
      </c>
      <c r="R278">
        <v>3136</v>
      </c>
      <c r="S278" t="s">
        <v>1013</v>
      </c>
      <c r="U278" t="s">
        <v>83</v>
      </c>
      <c r="V278" t="s">
        <v>375</v>
      </c>
      <c r="W278">
        <v>12276808</v>
      </c>
      <c r="X278" t="s">
        <v>447</v>
      </c>
      <c r="Y278">
        <f t="shared" si="70"/>
        <v>1.0799879999999999</v>
      </c>
      <c r="Z278">
        <f t="shared" si="71"/>
        <v>7.1999999999999993</v>
      </c>
      <c r="AA278">
        <f t="shared" si="72"/>
        <v>7.1999999999999993</v>
      </c>
      <c r="AB278" s="2">
        <f t="shared" si="73"/>
        <v>51</v>
      </c>
      <c r="AC278" s="2">
        <f t="shared" si="74"/>
        <v>44</v>
      </c>
      <c r="AD278" s="2">
        <f t="shared" si="75"/>
        <v>0</v>
      </c>
      <c r="AE278" s="2">
        <f t="shared" si="76"/>
        <v>0</v>
      </c>
      <c r="AF278" s="2">
        <f t="shared" si="77"/>
        <v>34</v>
      </c>
      <c r="AG278" s="2">
        <f t="shared" si="78"/>
        <v>0</v>
      </c>
      <c r="AH278" s="2">
        <f t="shared" si="79"/>
        <v>0</v>
      </c>
      <c r="AI278" s="1">
        <f t="shared" si="80"/>
        <v>259.2</v>
      </c>
      <c r="AJ278" s="1">
        <f t="shared" si="81"/>
        <v>431.99999999999994</v>
      </c>
      <c r="AK278" s="1" t="str">
        <f t="shared" si="82"/>
        <v/>
      </c>
      <c r="AL278" s="1" t="str">
        <f t="shared" si="83"/>
        <v/>
      </c>
      <c r="AM278" s="1">
        <f t="shared" si="68"/>
        <v>390</v>
      </c>
      <c r="AN278" s="5">
        <f t="shared" si="69"/>
        <v>0</v>
      </c>
      <c r="AO278" s="1" t="str">
        <f t="shared" si="84"/>
        <v/>
      </c>
    </row>
    <row r="279" spans="1:41">
      <c r="A279" t="s">
        <v>1016</v>
      </c>
      <c r="B279" t="s">
        <v>667</v>
      </c>
      <c r="C279" t="s">
        <v>1017</v>
      </c>
      <c r="D279">
        <v>602</v>
      </c>
      <c r="E279">
        <v>598</v>
      </c>
      <c r="F279">
        <v>1</v>
      </c>
      <c r="G279">
        <v>3</v>
      </c>
      <c r="H279">
        <v>1</v>
      </c>
      <c r="I279">
        <v>1</v>
      </c>
      <c r="J279">
        <v>1</v>
      </c>
      <c r="K279">
        <v>1</v>
      </c>
      <c r="L279" t="s">
        <v>1012</v>
      </c>
      <c r="M279" t="s">
        <v>1013</v>
      </c>
      <c r="N279" t="s">
        <v>942</v>
      </c>
      <c r="O279">
        <v>0</v>
      </c>
      <c r="P279" t="s">
        <v>378</v>
      </c>
      <c r="Q279" t="s">
        <v>374</v>
      </c>
      <c r="R279">
        <v>3136</v>
      </c>
      <c r="S279" t="s">
        <v>1013</v>
      </c>
      <c r="U279" t="s">
        <v>83</v>
      </c>
      <c r="V279" t="s">
        <v>375</v>
      </c>
      <c r="W279">
        <v>12277124</v>
      </c>
      <c r="X279" t="s">
        <v>450</v>
      </c>
      <c r="Y279">
        <f t="shared" si="70"/>
        <v>1.0799879999999999</v>
      </c>
      <c r="Z279">
        <f t="shared" si="71"/>
        <v>7.1999999999999993</v>
      </c>
      <c r="AA279">
        <f t="shared" si="72"/>
        <v>7.1999999999999993</v>
      </c>
      <c r="AB279" s="2">
        <f t="shared" si="73"/>
        <v>49</v>
      </c>
      <c r="AC279" s="2">
        <f t="shared" si="74"/>
        <v>42</v>
      </c>
      <c r="AD279" s="2">
        <f t="shared" si="75"/>
        <v>0</v>
      </c>
      <c r="AE279" s="2">
        <f t="shared" si="76"/>
        <v>0</v>
      </c>
      <c r="AF279" s="2">
        <f t="shared" si="77"/>
        <v>32</v>
      </c>
      <c r="AG279" s="2">
        <f t="shared" si="78"/>
        <v>0</v>
      </c>
      <c r="AH279" s="2">
        <f t="shared" si="79"/>
        <v>0</v>
      </c>
      <c r="AI279" s="1">
        <f t="shared" si="80"/>
        <v>259.2</v>
      </c>
      <c r="AJ279" s="1">
        <f t="shared" si="81"/>
        <v>431.99999999999994</v>
      </c>
      <c r="AK279" s="1" t="str">
        <f t="shared" si="82"/>
        <v/>
      </c>
      <c r="AL279" s="1" t="str">
        <f t="shared" si="83"/>
        <v/>
      </c>
      <c r="AM279" s="1">
        <f t="shared" si="68"/>
        <v>390</v>
      </c>
      <c r="AN279" s="5">
        <f t="shared" si="69"/>
        <v>0</v>
      </c>
      <c r="AO279" s="1" t="str">
        <f t="shared" si="84"/>
        <v/>
      </c>
    </row>
    <row r="280" spans="1:41">
      <c r="A280" t="s">
        <v>1018</v>
      </c>
      <c r="B280" t="s">
        <v>667</v>
      </c>
      <c r="C280" t="s">
        <v>1019</v>
      </c>
      <c r="D280">
        <v>602</v>
      </c>
      <c r="E280">
        <v>598</v>
      </c>
      <c r="F280">
        <v>1</v>
      </c>
      <c r="G280">
        <v>3</v>
      </c>
      <c r="H280">
        <v>1</v>
      </c>
      <c r="I280">
        <v>1</v>
      </c>
      <c r="J280">
        <v>1</v>
      </c>
      <c r="K280">
        <v>1</v>
      </c>
      <c r="L280" t="s">
        <v>1012</v>
      </c>
      <c r="M280" t="s">
        <v>1013</v>
      </c>
      <c r="N280" t="s">
        <v>942</v>
      </c>
      <c r="O280">
        <v>0</v>
      </c>
      <c r="P280" t="s">
        <v>378</v>
      </c>
      <c r="Q280" t="s">
        <v>374</v>
      </c>
      <c r="R280">
        <v>3136</v>
      </c>
      <c r="S280" t="s">
        <v>1013</v>
      </c>
      <c r="U280" t="s">
        <v>83</v>
      </c>
      <c r="V280" t="s">
        <v>375</v>
      </c>
      <c r="W280">
        <v>12277124</v>
      </c>
      <c r="X280" t="s">
        <v>450</v>
      </c>
      <c r="Y280">
        <f t="shared" si="70"/>
        <v>1.0799879999999999</v>
      </c>
      <c r="Z280">
        <f t="shared" si="71"/>
        <v>7.1999999999999993</v>
      </c>
      <c r="AA280">
        <f t="shared" si="72"/>
        <v>7.1999999999999993</v>
      </c>
      <c r="AB280" s="2">
        <f t="shared" si="73"/>
        <v>48</v>
      </c>
      <c r="AC280" s="2">
        <f t="shared" si="74"/>
        <v>41</v>
      </c>
      <c r="AD280" s="2">
        <f t="shared" si="75"/>
        <v>0</v>
      </c>
      <c r="AE280" s="2">
        <f t="shared" si="76"/>
        <v>0</v>
      </c>
      <c r="AF280" s="2">
        <f t="shared" si="77"/>
        <v>32</v>
      </c>
      <c r="AG280" s="2">
        <f t="shared" si="78"/>
        <v>0</v>
      </c>
      <c r="AH280" s="2">
        <f t="shared" si="79"/>
        <v>0</v>
      </c>
      <c r="AI280" s="1">
        <f t="shared" si="80"/>
        <v>259.2</v>
      </c>
      <c r="AJ280" s="1">
        <f t="shared" si="81"/>
        <v>431.99999999999994</v>
      </c>
      <c r="AK280" s="1" t="str">
        <f t="shared" si="82"/>
        <v/>
      </c>
      <c r="AL280" s="1" t="str">
        <f t="shared" si="83"/>
        <v/>
      </c>
      <c r="AM280" s="1">
        <f t="shared" si="68"/>
        <v>390</v>
      </c>
      <c r="AN280" s="5">
        <f t="shared" si="69"/>
        <v>0</v>
      </c>
      <c r="AO280" s="1" t="str">
        <f t="shared" si="84"/>
        <v/>
      </c>
    </row>
    <row r="281" spans="1:41">
      <c r="A281" t="s">
        <v>1010</v>
      </c>
      <c r="B281" t="s">
        <v>667</v>
      </c>
      <c r="C281" t="s">
        <v>1020</v>
      </c>
      <c r="D281">
        <v>602</v>
      </c>
      <c r="E281">
        <v>598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 t="s">
        <v>1012</v>
      </c>
      <c r="M281" t="s">
        <v>1013</v>
      </c>
      <c r="N281" t="s">
        <v>942</v>
      </c>
      <c r="O281">
        <v>0</v>
      </c>
      <c r="P281" t="s">
        <v>381</v>
      </c>
      <c r="Q281" t="s">
        <v>374</v>
      </c>
      <c r="R281">
        <v>3136</v>
      </c>
      <c r="S281" t="s">
        <v>1013</v>
      </c>
      <c r="U281" t="s">
        <v>83</v>
      </c>
      <c r="V281" t="s">
        <v>375</v>
      </c>
      <c r="W281">
        <v>12277441</v>
      </c>
      <c r="X281" t="s">
        <v>447</v>
      </c>
      <c r="Y281">
        <f t="shared" si="70"/>
        <v>0.35999599999999998</v>
      </c>
      <c r="Z281">
        <f t="shared" si="71"/>
        <v>2.4</v>
      </c>
      <c r="AA281">
        <f t="shared" si="72"/>
        <v>2.4</v>
      </c>
      <c r="AB281" s="2">
        <f t="shared" si="73"/>
        <v>48</v>
      </c>
      <c r="AC281" s="2">
        <f t="shared" si="74"/>
        <v>41</v>
      </c>
      <c r="AD281" s="2">
        <f t="shared" si="75"/>
        <v>0</v>
      </c>
      <c r="AE281" s="2">
        <f t="shared" si="76"/>
        <v>0</v>
      </c>
      <c r="AF281" s="2">
        <f t="shared" si="77"/>
        <v>34</v>
      </c>
      <c r="AG281" s="2">
        <f t="shared" si="78"/>
        <v>0</v>
      </c>
      <c r="AH281" s="2">
        <f t="shared" si="79"/>
        <v>0</v>
      </c>
      <c r="AI281" s="1">
        <f t="shared" si="80"/>
        <v>86.399999999999991</v>
      </c>
      <c r="AJ281" s="1">
        <f t="shared" si="81"/>
        <v>144</v>
      </c>
      <c r="AK281" s="1" t="str">
        <f t="shared" si="82"/>
        <v/>
      </c>
      <c r="AL281" s="1" t="str">
        <f t="shared" si="83"/>
        <v/>
      </c>
      <c r="AM281" s="1">
        <f t="shared" si="68"/>
        <v>130</v>
      </c>
      <c r="AN281" s="5">
        <f t="shared" si="69"/>
        <v>0</v>
      </c>
      <c r="AO281" s="1" t="str">
        <f t="shared" si="84"/>
        <v/>
      </c>
    </row>
    <row r="282" spans="1:41">
      <c r="A282" t="s">
        <v>1014</v>
      </c>
      <c r="B282" t="s">
        <v>667</v>
      </c>
      <c r="C282" t="s">
        <v>1021</v>
      </c>
      <c r="D282">
        <v>602</v>
      </c>
      <c r="E282">
        <v>598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 t="s">
        <v>1012</v>
      </c>
      <c r="M282" t="s">
        <v>1013</v>
      </c>
      <c r="N282" t="s">
        <v>942</v>
      </c>
      <c r="O282">
        <v>0</v>
      </c>
      <c r="P282" t="s">
        <v>381</v>
      </c>
      <c r="Q282" t="s">
        <v>374</v>
      </c>
      <c r="R282">
        <v>3136</v>
      </c>
      <c r="S282" t="s">
        <v>1013</v>
      </c>
      <c r="U282" t="s">
        <v>83</v>
      </c>
      <c r="V282" t="s">
        <v>375</v>
      </c>
      <c r="W282">
        <v>12277441</v>
      </c>
      <c r="X282" t="s">
        <v>447</v>
      </c>
      <c r="Y282">
        <f t="shared" si="70"/>
        <v>0.35999599999999998</v>
      </c>
      <c r="Z282">
        <f t="shared" si="71"/>
        <v>2.4</v>
      </c>
      <c r="AA282">
        <f t="shared" si="72"/>
        <v>2.4</v>
      </c>
      <c r="AB282" s="2">
        <f t="shared" si="73"/>
        <v>51</v>
      </c>
      <c r="AC282" s="2">
        <f t="shared" si="74"/>
        <v>44</v>
      </c>
      <c r="AD282" s="2">
        <f t="shared" si="75"/>
        <v>0</v>
      </c>
      <c r="AE282" s="2">
        <f t="shared" si="76"/>
        <v>0</v>
      </c>
      <c r="AF282" s="2">
        <f t="shared" si="77"/>
        <v>34</v>
      </c>
      <c r="AG282" s="2">
        <f t="shared" si="78"/>
        <v>0</v>
      </c>
      <c r="AH282" s="2">
        <f t="shared" si="79"/>
        <v>0</v>
      </c>
      <c r="AI282" s="1">
        <f t="shared" si="80"/>
        <v>86.399999999999991</v>
      </c>
      <c r="AJ282" s="1">
        <f t="shared" si="81"/>
        <v>144</v>
      </c>
      <c r="AK282" s="1" t="str">
        <f t="shared" si="82"/>
        <v/>
      </c>
      <c r="AL282" s="1" t="str">
        <f t="shared" si="83"/>
        <v/>
      </c>
      <c r="AM282" s="1">
        <f t="shared" si="68"/>
        <v>130</v>
      </c>
      <c r="AN282" s="5">
        <f t="shared" si="69"/>
        <v>0</v>
      </c>
      <c r="AO282" s="1" t="str">
        <f t="shared" si="84"/>
        <v/>
      </c>
    </row>
    <row r="283" spans="1:41">
      <c r="A283" t="s">
        <v>1022</v>
      </c>
      <c r="B283" t="s">
        <v>667</v>
      </c>
      <c r="C283" t="s">
        <v>1023</v>
      </c>
      <c r="D283">
        <v>603</v>
      </c>
      <c r="E283">
        <v>866</v>
      </c>
      <c r="F283">
        <v>1</v>
      </c>
      <c r="G283">
        <v>3</v>
      </c>
      <c r="H283">
        <v>1</v>
      </c>
      <c r="L283" t="s">
        <v>1024</v>
      </c>
      <c r="M283" t="s">
        <v>1025</v>
      </c>
      <c r="N283" t="s">
        <v>942</v>
      </c>
      <c r="O283">
        <v>0</v>
      </c>
      <c r="P283" t="s">
        <v>373</v>
      </c>
      <c r="Q283" t="s">
        <v>374</v>
      </c>
      <c r="R283">
        <v>3136</v>
      </c>
      <c r="S283" t="s">
        <v>1025</v>
      </c>
      <c r="U283" t="s">
        <v>83</v>
      </c>
      <c r="V283" t="s">
        <v>375</v>
      </c>
      <c r="W283">
        <v>12276813</v>
      </c>
      <c r="X283" t="s">
        <v>447</v>
      </c>
      <c r="Y283">
        <f t="shared" si="70"/>
        <v>1.566594</v>
      </c>
      <c r="Z283">
        <f t="shared" si="71"/>
        <v>8.8140000000000001</v>
      </c>
      <c r="AA283">
        <f t="shared" si="72"/>
        <v>1.8089999999999999</v>
      </c>
      <c r="AB283" s="2">
        <f t="shared" si="73"/>
        <v>55</v>
      </c>
      <c r="AC283" s="2">
        <f t="shared" si="74"/>
        <v>41</v>
      </c>
      <c r="AD283" s="2">
        <f t="shared" si="75"/>
        <v>0</v>
      </c>
      <c r="AE283" s="2">
        <f t="shared" si="76"/>
        <v>48</v>
      </c>
      <c r="AF283" s="2">
        <f t="shared" si="77"/>
        <v>34</v>
      </c>
      <c r="AG283" s="2">
        <f t="shared" si="78"/>
        <v>0</v>
      </c>
      <c r="AH283" s="2">
        <f t="shared" si="79"/>
        <v>0</v>
      </c>
      <c r="AI283" s="1">
        <f t="shared" si="80"/>
        <v>317.30399999999997</v>
      </c>
      <c r="AJ283" s="1">
        <f t="shared" si="81"/>
        <v>108.53999999999999</v>
      </c>
      <c r="AK283" s="1" t="str">
        <f t="shared" si="82"/>
        <v/>
      </c>
      <c r="AL283" s="1">
        <f t="shared" si="83"/>
        <v>720</v>
      </c>
      <c r="AM283" s="1">
        <f t="shared" si="68"/>
        <v>390</v>
      </c>
      <c r="AN283" s="5">
        <f t="shared" si="69"/>
        <v>0</v>
      </c>
      <c r="AO283" s="1" t="str">
        <f t="shared" si="84"/>
        <v/>
      </c>
    </row>
    <row r="284" spans="1:41">
      <c r="A284" t="s">
        <v>1026</v>
      </c>
      <c r="B284" t="s">
        <v>667</v>
      </c>
      <c r="C284" t="s">
        <v>1027</v>
      </c>
      <c r="D284">
        <v>603</v>
      </c>
      <c r="E284">
        <v>866</v>
      </c>
      <c r="F284">
        <v>1</v>
      </c>
      <c r="G284">
        <v>3</v>
      </c>
      <c r="H284">
        <v>1</v>
      </c>
      <c r="L284" t="s">
        <v>1024</v>
      </c>
      <c r="M284" t="s">
        <v>1025</v>
      </c>
      <c r="N284" t="s">
        <v>942</v>
      </c>
      <c r="O284">
        <v>0</v>
      </c>
      <c r="P284" t="s">
        <v>378</v>
      </c>
      <c r="Q284" t="s">
        <v>374</v>
      </c>
      <c r="R284">
        <v>3136</v>
      </c>
      <c r="S284" t="s">
        <v>1025</v>
      </c>
      <c r="U284" t="s">
        <v>83</v>
      </c>
      <c r="V284" t="s">
        <v>375</v>
      </c>
      <c r="W284">
        <v>12277126</v>
      </c>
      <c r="X284" t="s">
        <v>450</v>
      </c>
      <c r="Y284">
        <f t="shared" si="70"/>
        <v>1.566594</v>
      </c>
      <c r="Z284">
        <f t="shared" si="71"/>
        <v>8.8140000000000001</v>
      </c>
      <c r="AA284">
        <f t="shared" si="72"/>
        <v>1.8089999999999999</v>
      </c>
      <c r="AB284" s="2">
        <f t="shared" si="73"/>
        <v>62</v>
      </c>
      <c r="AC284" s="2">
        <f t="shared" si="74"/>
        <v>42</v>
      </c>
      <c r="AD284" s="2">
        <f t="shared" si="75"/>
        <v>0</v>
      </c>
      <c r="AE284" s="2">
        <f t="shared" si="76"/>
        <v>52</v>
      </c>
      <c r="AF284" s="2">
        <f t="shared" si="77"/>
        <v>32</v>
      </c>
      <c r="AG284" s="2">
        <f t="shared" si="78"/>
        <v>0</v>
      </c>
      <c r="AH284" s="2">
        <f t="shared" si="79"/>
        <v>0</v>
      </c>
      <c r="AI284" s="1">
        <f t="shared" si="80"/>
        <v>317.30399999999997</v>
      </c>
      <c r="AJ284" s="1">
        <f t="shared" si="81"/>
        <v>108.53999999999999</v>
      </c>
      <c r="AK284" s="1" t="str">
        <f t="shared" si="82"/>
        <v/>
      </c>
      <c r="AL284" s="1">
        <f t="shared" si="83"/>
        <v>720</v>
      </c>
      <c r="AM284" s="1">
        <f t="shared" si="68"/>
        <v>390</v>
      </c>
      <c r="AN284" s="5">
        <f t="shared" si="69"/>
        <v>0</v>
      </c>
      <c r="AO284" s="1" t="str">
        <f t="shared" si="84"/>
        <v/>
      </c>
    </row>
    <row r="285" spans="1:41">
      <c r="A285" t="s">
        <v>1022</v>
      </c>
      <c r="B285" t="s">
        <v>667</v>
      </c>
      <c r="C285" t="s">
        <v>1028</v>
      </c>
      <c r="D285">
        <v>603</v>
      </c>
      <c r="E285">
        <v>866</v>
      </c>
      <c r="F285">
        <v>1</v>
      </c>
      <c r="G285">
        <v>1</v>
      </c>
      <c r="H285">
        <v>1</v>
      </c>
      <c r="L285" t="s">
        <v>1024</v>
      </c>
      <c r="M285" t="s">
        <v>1025</v>
      </c>
      <c r="N285" t="s">
        <v>942</v>
      </c>
      <c r="O285">
        <v>0</v>
      </c>
      <c r="P285" t="s">
        <v>381</v>
      </c>
      <c r="Q285" t="s">
        <v>374</v>
      </c>
      <c r="R285">
        <v>3136</v>
      </c>
      <c r="S285" t="s">
        <v>1025</v>
      </c>
      <c r="U285" t="s">
        <v>83</v>
      </c>
      <c r="V285" t="s">
        <v>375</v>
      </c>
      <c r="W285">
        <v>12277446</v>
      </c>
      <c r="X285" t="s">
        <v>447</v>
      </c>
      <c r="Y285">
        <f t="shared" si="70"/>
        <v>0.52219800000000005</v>
      </c>
      <c r="Z285">
        <f t="shared" si="71"/>
        <v>2.9380000000000002</v>
      </c>
      <c r="AA285">
        <f t="shared" si="72"/>
        <v>0.60299999999999998</v>
      </c>
      <c r="AB285" s="2">
        <f t="shared" si="73"/>
        <v>55</v>
      </c>
      <c r="AC285" s="2">
        <f t="shared" si="74"/>
        <v>41</v>
      </c>
      <c r="AD285" s="2">
        <f t="shared" si="75"/>
        <v>0</v>
      </c>
      <c r="AE285" s="2">
        <f t="shared" si="76"/>
        <v>48</v>
      </c>
      <c r="AF285" s="2">
        <f t="shared" si="77"/>
        <v>34</v>
      </c>
      <c r="AG285" s="2">
        <f t="shared" si="78"/>
        <v>0</v>
      </c>
      <c r="AH285" s="2">
        <f t="shared" si="79"/>
        <v>0</v>
      </c>
      <c r="AI285" s="1">
        <f t="shared" si="80"/>
        <v>105.768</v>
      </c>
      <c r="AJ285" s="1">
        <f t="shared" si="81"/>
        <v>36.18</v>
      </c>
      <c r="AK285" s="1" t="str">
        <f t="shared" si="82"/>
        <v/>
      </c>
      <c r="AL285" s="1">
        <f t="shared" si="83"/>
        <v>240</v>
      </c>
      <c r="AM285" s="1">
        <f t="shared" si="68"/>
        <v>130</v>
      </c>
      <c r="AN285" s="5">
        <f t="shared" si="69"/>
        <v>0</v>
      </c>
      <c r="AO285" s="1" t="str">
        <f t="shared" si="84"/>
        <v/>
      </c>
    </row>
    <row r="286" spans="1:41">
      <c r="A286" t="s">
        <v>1029</v>
      </c>
      <c r="B286" t="s">
        <v>667</v>
      </c>
      <c r="C286" t="s">
        <v>1030</v>
      </c>
      <c r="D286">
        <v>602</v>
      </c>
      <c r="E286">
        <v>521</v>
      </c>
      <c r="F286">
        <v>1</v>
      </c>
      <c r="G286">
        <v>3</v>
      </c>
      <c r="H286">
        <v>1</v>
      </c>
      <c r="J286">
        <v>1</v>
      </c>
      <c r="K286">
        <v>1</v>
      </c>
      <c r="L286" t="s">
        <v>1031</v>
      </c>
      <c r="M286" t="s">
        <v>1032</v>
      </c>
      <c r="N286" t="s">
        <v>942</v>
      </c>
      <c r="O286">
        <v>0</v>
      </c>
      <c r="P286" t="s">
        <v>373</v>
      </c>
      <c r="Q286" t="s">
        <v>374</v>
      </c>
      <c r="R286">
        <v>3136</v>
      </c>
      <c r="S286" t="s">
        <v>1032</v>
      </c>
      <c r="U286" t="s">
        <v>83</v>
      </c>
      <c r="V286" t="s">
        <v>375</v>
      </c>
      <c r="W286">
        <v>12276794</v>
      </c>
      <c r="X286" t="s">
        <v>447</v>
      </c>
      <c r="Y286">
        <f t="shared" si="70"/>
        <v>0.94092600000000004</v>
      </c>
      <c r="Z286">
        <f t="shared" si="71"/>
        <v>6.7379999999999995</v>
      </c>
      <c r="AA286">
        <f t="shared" si="72"/>
        <v>4.9319999999999995</v>
      </c>
      <c r="AB286" s="2">
        <f t="shared" si="73"/>
        <v>55</v>
      </c>
      <c r="AC286" s="2">
        <f t="shared" si="74"/>
        <v>41</v>
      </c>
      <c r="AD286" s="2">
        <f t="shared" si="75"/>
        <v>0</v>
      </c>
      <c r="AE286" s="2">
        <f t="shared" si="76"/>
        <v>48</v>
      </c>
      <c r="AF286" s="2">
        <f t="shared" si="77"/>
        <v>34</v>
      </c>
      <c r="AG286" s="2">
        <f t="shared" si="78"/>
        <v>0</v>
      </c>
      <c r="AH286" s="2">
        <f t="shared" si="79"/>
        <v>0</v>
      </c>
      <c r="AI286" s="1">
        <f t="shared" si="80"/>
        <v>242.56799999999998</v>
      </c>
      <c r="AJ286" s="1">
        <f t="shared" si="81"/>
        <v>295.91999999999996</v>
      </c>
      <c r="AK286" s="1" t="str">
        <f t="shared" si="82"/>
        <v/>
      </c>
      <c r="AL286" s="1">
        <f t="shared" si="83"/>
        <v>720</v>
      </c>
      <c r="AM286" s="1">
        <f t="shared" si="68"/>
        <v>390</v>
      </c>
      <c r="AN286" s="5">
        <f t="shared" si="69"/>
        <v>0</v>
      </c>
      <c r="AO286" s="1" t="str">
        <f t="shared" si="84"/>
        <v/>
      </c>
    </row>
    <row r="287" spans="1:41">
      <c r="A287" t="s">
        <v>1029</v>
      </c>
      <c r="B287" t="s">
        <v>667</v>
      </c>
      <c r="C287" t="s">
        <v>1033</v>
      </c>
      <c r="D287">
        <v>602</v>
      </c>
      <c r="E287">
        <v>521</v>
      </c>
      <c r="F287">
        <v>1</v>
      </c>
      <c r="G287">
        <v>3</v>
      </c>
      <c r="H287">
        <v>1</v>
      </c>
      <c r="J287">
        <v>1</v>
      </c>
      <c r="K287">
        <v>1</v>
      </c>
      <c r="L287" t="s">
        <v>1031</v>
      </c>
      <c r="M287" t="s">
        <v>1032</v>
      </c>
      <c r="N287" t="s">
        <v>942</v>
      </c>
      <c r="O287">
        <v>0</v>
      </c>
      <c r="P287" t="s">
        <v>378</v>
      </c>
      <c r="Q287" t="s">
        <v>374</v>
      </c>
      <c r="R287">
        <v>3136</v>
      </c>
      <c r="S287" t="s">
        <v>1032</v>
      </c>
      <c r="U287" t="s">
        <v>83</v>
      </c>
      <c r="V287" t="s">
        <v>375</v>
      </c>
      <c r="W287">
        <v>12277106</v>
      </c>
      <c r="X287" t="s">
        <v>450</v>
      </c>
      <c r="Y287">
        <f t="shared" si="70"/>
        <v>0.94092600000000004</v>
      </c>
      <c r="Z287">
        <f t="shared" si="71"/>
        <v>6.7379999999999995</v>
      </c>
      <c r="AA287">
        <f t="shared" si="72"/>
        <v>4.9319999999999995</v>
      </c>
      <c r="AB287" s="2">
        <f t="shared" si="73"/>
        <v>53</v>
      </c>
      <c r="AC287" s="2">
        <f t="shared" si="74"/>
        <v>39</v>
      </c>
      <c r="AD287" s="2">
        <f t="shared" si="75"/>
        <v>0</v>
      </c>
      <c r="AE287" s="2">
        <f t="shared" si="76"/>
        <v>46</v>
      </c>
      <c r="AF287" s="2">
        <f t="shared" si="77"/>
        <v>32</v>
      </c>
      <c r="AG287" s="2">
        <f t="shared" si="78"/>
        <v>0</v>
      </c>
      <c r="AH287" s="2">
        <f t="shared" si="79"/>
        <v>0</v>
      </c>
      <c r="AI287" s="1">
        <f t="shared" si="80"/>
        <v>242.56799999999998</v>
      </c>
      <c r="AJ287" s="1">
        <f t="shared" si="81"/>
        <v>295.91999999999996</v>
      </c>
      <c r="AK287" s="1" t="str">
        <f t="shared" si="82"/>
        <v/>
      </c>
      <c r="AL287" s="1">
        <f t="shared" si="83"/>
        <v>720</v>
      </c>
      <c r="AM287" s="1">
        <f t="shared" si="68"/>
        <v>390</v>
      </c>
      <c r="AN287" s="5">
        <f t="shared" si="69"/>
        <v>0</v>
      </c>
      <c r="AO287" s="1" t="str">
        <f t="shared" si="84"/>
        <v/>
      </c>
    </row>
    <row r="288" spans="1:41">
      <c r="A288" t="s">
        <v>1029</v>
      </c>
      <c r="B288" t="s">
        <v>667</v>
      </c>
      <c r="C288" t="s">
        <v>1034</v>
      </c>
      <c r="D288">
        <v>602</v>
      </c>
      <c r="E288">
        <v>521</v>
      </c>
      <c r="F288">
        <v>1</v>
      </c>
      <c r="G288">
        <v>1</v>
      </c>
      <c r="H288">
        <v>1</v>
      </c>
      <c r="J288">
        <v>1</v>
      </c>
      <c r="K288">
        <v>1</v>
      </c>
      <c r="L288" t="s">
        <v>1031</v>
      </c>
      <c r="M288" t="s">
        <v>1032</v>
      </c>
      <c r="N288" t="s">
        <v>942</v>
      </c>
      <c r="O288">
        <v>0</v>
      </c>
      <c r="P288" t="s">
        <v>381</v>
      </c>
      <c r="Q288" t="s">
        <v>374</v>
      </c>
      <c r="R288">
        <v>3136</v>
      </c>
      <c r="S288" t="s">
        <v>1032</v>
      </c>
      <c r="U288" t="s">
        <v>83</v>
      </c>
      <c r="V288" t="s">
        <v>375</v>
      </c>
      <c r="W288">
        <v>12277427</v>
      </c>
      <c r="X288" t="s">
        <v>447</v>
      </c>
      <c r="Y288">
        <f t="shared" si="70"/>
        <v>0.31364199999999998</v>
      </c>
      <c r="Z288">
        <f t="shared" si="71"/>
        <v>2.246</v>
      </c>
      <c r="AA288">
        <f t="shared" si="72"/>
        <v>1.6439999999999999</v>
      </c>
      <c r="AB288" s="2">
        <f t="shared" si="73"/>
        <v>55</v>
      </c>
      <c r="AC288" s="2">
        <f t="shared" si="74"/>
        <v>41</v>
      </c>
      <c r="AD288" s="2">
        <f t="shared" si="75"/>
        <v>0</v>
      </c>
      <c r="AE288" s="2">
        <f t="shared" si="76"/>
        <v>48</v>
      </c>
      <c r="AF288" s="2">
        <f t="shared" si="77"/>
        <v>34</v>
      </c>
      <c r="AG288" s="2">
        <f t="shared" si="78"/>
        <v>0</v>
      </c>
      <c r="AH288" s="2">
        <f t="shared" si="79"/>
        <v>0</v>
      </c>
      <c r="AI288" s="1">
        <f t="shared" si="80"/>
        <v>80.855999999999995</v>
      </c>
      <c r="AJ288" s="1">
        <f t="shared" si="81"/>
        <v>98.64</v>
      </c>
      <c r="AK288" s="1" t="str">
        <f t="shared" si="82"/>
        <v/>
      </c>
      <c r="AL288" s="1">
        <f t="shared" si="83"/>
        <v>240</v>
      </c>
      <c r="AM288" s="1">
        <f t="shared" si="68"/>
        <v>130</v>
      </c>
      <c r="AN288" s="5">
        <f t="shared" si="69"/>
        <v>0</v>
      </c>
      <c r="AO288" s="1" t="str">
        <f t="shared" si="84"/>
        <v/>
      </c>
    </row>
    <row r="289" spans="1:41">
      <c r="A289" t="s">
        <v>1035</v>
      </c>
      <c r="B289" t="s">
        <v>667</v>
      </c>
      <c r="C289" t="s">
        <v>1036</v>
      </c>
      <c r="D289">
        <v>602</v>
      </c>
      <c r="E289">
        <v>578</v>
      </c>
      <c r="F289">
        <v>1</v>
      </c>
      <c r="G289">
        <v>3</v>
      </c>
      <c r="H289">
        <v>1</v>
      </c>
      <c r="I289">
        <v>1</v>
      </c>
      <c r="J289">
        <v>1</v>
      </c>
      <c r="K289">
        <v>1</v>
      </c>
      <c r="L289" t="s">
        <v>1037</v>
      </c>
      <c r="M289" t="s">
        <v>1038</v>
      </c>
      <c r="N289" t="s">
        <v>942</v>
      </c>
      <c r="O289">
        <v>0</v>
      </c>
      <c r="P289" t="s">
        <v>373</v>
      </c>
      <c r="Q289" t="s">
        <v>374</v>
      </c>
      <c r="R289">
        <v>3136</v>
      </c>
      <c r="S289" t="s">
        <v>1038</v>
      </c>
      <c r="U289" t="s">
        <v>83</v>
      </c>
      <c r="V289" t="s">
        <v>375</v>
      </c>
      <c r="W289">
        <v>12276683</v>
      </c>
      <c r="X289" t="s">
        <v>376</v>
      </c>
      <c r="Y289">
        <f t="shared" si="70"/>
        <v>1.043868</v>
      </c>
      <c r="Z289">
        <f t="shared" si="71"/>
        <v>7.08</v>
      </c>
      <c r="AA289">
        <f t="shared" si="72"/>
        <v>7.08</v>
      </c>
      <c r="AB289" s="2">
        <f t="shared" si="73"/>
        <v>48</v>
      </c>
      <c r="AC289" s="2">
        <f t="shared" si="74"/>
        <v>41</v>
      </c>
      <c r="AD289" s="2">
        <f t="shared" si="75"/>
        <v>0</v>
      </c>
      <c r="AE289" s="2">
        <f t="shared" si="76"/>
        <v>0</v>
      </c>
      <c r="AF289" s="2">
        <f t="shared" si="77"/>
        <v>34</v>
      </c>
      <c r="AG289" s="2">
        <f t="shared" si="78"/>
        <v>0</v>
      </c>
      <c r="AH289" s="2">
        <f t="shared" si="79"/>
        <v>0</v>
      </c>
      <c r="AI289" s="1">
        <f t="shared" si="80"/>
        <v>254.88</v>
      </c>
      <c r="AJ289" s="1">
        <f t="shared" si="81"/>
        <v>424.8</v>
      </c>
      <c r="AK289" s="1" t="str">
        <f t="shared" si="82"/>
        <v/>
      </c>
      <c r="AL289" s="1" t="str">
        <f t="shared" si="83"/>
        <v/>
      </c>
      <c r="AM289" s="1">
        <f t="shared" si="68"/>
        <v>390</v>
      </c>
      <c r="AN289" s="5">
        <f t="shared" si="69"/>
        <v>0</v>
      </c>
      <c r="AO289" s="1" t="str">
        <f t="shared" si="84"/>
        <v/>
      </c>
    </row>
    <row r="290" spans="1:41">
      <c r="A290" t="s">
        <v>1039</v>
      </c>
      <c r="B290" t="s">
        <v>667</v>
      </c>
      <c r="C290" t="s">
        <v>1040</v>
      </c>
      <c r="D290">
        <v>602</v>
      </c>
      <c r="E290">
        <v>578</v>
      </c>
      <c r="F290">
        <v>1</v>
      </c>
      <c r="G290">
        <v>3</v>
      </c>
      <c r="H290">
        <v>1</v>
      </c>
      <c r="I290">
        <v>1</v>
      </c>
      <c r="J290">
        <v>1</v>
      </c>
      <c r="K290">
        <v>1</v>
      </c>
      <c r="L290" t="s">
        <v>1037</v>
      </c>
      <c r="M290" t="s">
        <v>1038</v>
      </c>
      <c r="N290" t="s">
        <v>942</v>
      </c>
      <c r="O290">
        <v>0</v>
      </c>
      <c r="P290" t="s">
        <v>373</v>
      </c>
      <c r="Q290" t="s">
        <v>374</v>
      </c>
      <c r="R290">
        <v>3136</v>
      </c>
      <c r="S290" t="s">
        <v>1038</v>
      </c>
      <c r="U290" t="s">
        <v>83</v>
      </c>
      <c r="V290" t="s">
        <v>375</v>
      </c>
      <c r="W290">
        <v>12276683</v>
      </c>
      <c r="X290" t="s">
        <v>376</v>
      </c>
      <c r="Y290">
        <f t="shared" si="70"/>
        <v>1.043868</v>
      </c>
      <c r="Z290">
        <f t="shared" si="71"/>
        <v>7.08</v>
      </c>
      <c r="AA290">
        <f t="shared" si="72"/>
        <v>7.08</v>
      </c>
      <c r="AB290" s="2">
        <f t="shared" si="73"/>
        <v>61</v>
      </c>
      <c r="AC290" s="2">
        <f t="shared" si="74"/>
        <v>54</v>
      </c>
      <c r="AD290" s="2">
        <f t="shared" si="75"/>
        <v>0</v>
      </c>
      <c r="AE290" s="2">
        <f t="shared" si="76"/>
        <v>0</v>
      </c>
      <c r="AF290" s="2">
        <f t="shared" si="77"/>
        <v>44</v>
      </c>
      <c r="AG290" s="2">
        <f t="shared" si="78"/>
        <v>0</v>
      </c>
      <c r="AH290" s="2">
        <f t="shared" si="79"/>
        <v>0</v>
      </c>
      <c r="AI290" s="1">
        <f t="shared" si="80"/>
        <v>254.88</v>
      </c>
      <c r="AJ290" s="1">
        <f t="shared" si="81"/>
        <v>424.8</v>
      </c>
      <c r="AK290" s="1" t="str">
        <f t="shared" si="82"/>
        <v/>
      </c>
      <c r="AL290" s="1" t="str">
        <f t="shared" si="83"/>
        <v/>
      </c>
      <c r="AM290" s="1">
        <f t="shared" si="68"/>
        <v>390</v>
      </c>
      <c r="AN290" s="5">
        <f t="shared" si="69"/>
        <v>0</v>
      </c>
      <c r="AO290" s="1" t="str">
        <f t="shared" si="84"/>
        <v/>
      </c>
    </row>
    <row r="291" spans="1:41">
      <c r="A291" t="s">
        <v>1041</v>
      </c>
      <c r="B291" t="s">
        <v>667</v>
      </c>
      <c r="C291" t="s">
        <v>1042</v>
      </c>
      <c r="D291">
        <v>602</v>
      </c>
      <c r="E291">
        <v>578</v>
      </c>
      <c r="F291">
        <v>1</v>
      </c>
      <c r="G291">
        <v>3</v>
      </c>
      <c r="H291">
        <v>1</v>
      </c>
      <c r="I291">
        <v>1</v>
      </c>
      <c r="J291">
        <v>1</v>
      </c>
      <c r="K291">
        <v>1</v>
      </c>
      <c r="L291" t="s">
        <v>1037</v>
      </c>
      <c r="M291" t="s">
        <v>1038</v>
      </c>
      <c r="N291" t="s">
        <v>942</v>
      </c>
      <c r="O291">
        <v>0</v>
      </c>
      <c r="P291" t="s">
        <v>378</v>
      </c>
      <c r="Q291" t="s">
        <v>374</v>
      </c>
      <c r="R291">
        <v>3136</v>
      </c>
      <c r="S291" t="s">
        <v>1038</v>
      </c>
      <c r="U291" t="s">
        <v>83</v>
      </c>
      <c r="V291" t="s">
        <v>375</v>
      </c>
      <c r="W291">
        <v>12277131</v>
      </c>
      <c r="X291" t="s">
        <v>379</v>
      </c>
      <c r="Y291">
        <f t="shared" si="70"/>
        <v>1.043868</v>
      </c>
      <c r="Z291">
        <f t="shared" si="71"/>
        <v>7.08</v>
      </c>
      <c r="AA291">
        <f t="shared" si="72"/>
        <v>7.08</v>
      </c>
      <c r="AB291" s="2">
        <f t="shared" si="73"/>
        <v>50</v>
      </c>
      <c r="AC291" s="2">
        <f t="shared" si="74"/>
        <v>43</v>
      </c>
      <c r="AD291" s="2">
        <f t="shared" si="75"/>
        <v>0</v>
      </c>
      <c r="AE291" s="2">
        <f t="shared" si="76"/>
        <v>0</v>
      </c>
      <c r="AF291" s="2">
        <f t="shared" si="77"/>
        <v>34</v>
      </c>
      <c r="AG291" s="2">
        <f t="shared" si="78"/>
        <v>0</v>
      </c>
      <c r="AH291" s="2">
        <f t="shared" si="79"/>
        <v>0</v>
      </c>
      <c r="AI291" s="1">
        <f t="shared" si="80"/>
        <v>254.88</v>
      </c>
      <c r="AJ291" s="1">
        <f t="shared" si="81"/>
        <v>424.8</v>
      </c>
      <c r="AK291" s="1" t="str">
        <f t="shared" si="82"/>
        <v/>
      </c>
      <c r="AL291" s="1" t="str">
        <f t="shared" si="83"/>
        <v/>
      </c>
      <c r="AM291" s="1">
        <f t="shared" si="68"/>
        <v>390</v>
      </c>
      <c r="AN291" s="5">
        <f t="shared" si="69"/>
        <v>0</v>
      </c>
      <c r="AO291" s="1" t="str">
        <f t="shared" si="84"/>
        <v/>
      </c>
    </row>
    <row r="292" spans="1:41">
      <c r="A292" t="s">
        <v>1035</v>
      </c>
      <c r="B292" t="s">
        <v>667</v>
      </c>
      <c r="C292" t="s">
        <v>1043</v>
      </c>
      <c r="D292">
        <v>602</v>
      </c>
      <c r="E292">
        <v>578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 t="s">
        <v>1037</v>
      </c>
      <c r="M292" t="s">
        <v>1038</v>
      </c>
      <c r="N292" t="s">
        <v>942</v>
      </c>
      <c r="O292">
        <v>0</v>
      </c>
      <c r="P292" t="s">
        <v>381</v>
      </c>
      <c r="Q292" t="s">
        <v>374</v>
      </c>
      <c r="R292">
        <v>3136</v>
      </c>
      <c r="S292" t="s">
        <v>1038</v>
      </c>
      <c r="U292" t="s">
        <v>83</v>
      </c>
      <c r="V292" t="s">
        <v>375</v>
      </c>
      <c r="W292">
        <v>12277316</v>
      </c>
      <c r="X292" t="s">
        <v>376</v>
      </c>
      <c r="Y292">
        <f t="shared" si="70"/>
        <v>0.34795599999999999</v>
      </c>
      <c r="Z292">
        <f t="shared" si="71"/>
        <v>2.36</v>
      </c>
      <c r="AA292">
        <f t="shared" si="72"/>
        <v>2.36</v>
      </c>
      <c r="AB292" s="2">
        <f t="shared" si="73"/>
        <v>48</v>
      </c>
      <c r="AC292" s="2">
        <f t="shared" si="74"/>
        <v>41</v>
      </c>
      <c r="AD292" s="2">
        <f t="shared" si="75"/>
        <v>0</v>
      </c>
      <c r="AE292" s="2">
        <f t="shared" si="76"/>
        <v>0</v>
      </c>
      <c r="AF292" s="2">
        <f t="shared" si="77"/>
        <v>34</v>
      </c>
      <c r="AG292" s="2">
        <f t="shared" si="78"/>
        <v>0</v>
      </c>
      <c r="AH292" s="2">
        <f t="shared" si="79"/>
        <v>0</v>
      </c>
      <c r="AI292" s="1">
        <f t="shared" si="80"/>
        <v>84.96</v>
      </c>
      <c r="AJ292" s="1">
        <f t="shared" si="81"/>
        <v>141.6</v>
      </c>
      <c r="AK292" s="1" t="str">
        <f t="shared" si="82"/>
        <v/>
      </c>
      <c r="AL292" s="1" t="str">
        <f t="shared" si="83"/>
        <v/>
      </c>
      <c r="AM292" s="1">
        <f t="shared" si="68"/>
        <v>130</v>
      </c>
      <c r="AN292" s="5">
        <f t="shared" si="69"/>
        <v>0</v>
      </c>
      <c r="AO292" s="1" t="str">
        <f t="shared" si="84"/>
        <v/>
      </c>
    </row>
    <row r="293" spans="1:41">
      <c r="A293" t="s">
        <v>1039</v>
      </c>
      <c r="B293" t="s">
        <v>667</v>
      </c>
      <c r="C293" t="s">
        <v>1044</v>
      </c>
      <c r="D293">
        <v>602</v>
      </c>
      <c r="E293">
        <v>578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 t="s">
        <v>1037</v>
      </c>
      <c r="M293" t="s">
        <v>1038</v>
      </c>
      <c r="N293" t="s">
        <v>942</v>
      </c>
      <c r="O293">
        <v>0</v>
      </c>
      <c r="P293" t="s">
        <v>381</v>
      </c>
      <c r="Q293" t="s">
        <v>374</v>
      </c>
      <c r="R293">
        <v>3136</v>
      </c>
      <c r="S293" t="s">
        <v>1038</v>
      </c>
      <c r="U293" t="s">
        <v>83</v>
      </c>
      <c r="V293" t="s">
        <v>375</v>
      </c>
      <c r="W293">
        <v>12277316</v>
      </c>
      <c r="X293" t="s">
        <v>376</v>
      </c>
      <c r="Y293">
        <f t="shared" si="70"/>
        <v>0.34795599999999999</v>
      </c>
      <c r="Z293">
        <f t="shared" si="71"/>
        <v>2.36</v>
      </c>
      <c r="AA293">
        <f t="shared" si="72"/>
        <v>2.36</v>
      </c>
      <c r="AB293" s="2">
        <f t="shared" si="73"/>
        <v>61</v>
      </c>
      <c r="AC293" s="2">
        <f t="shared" si="74"/>
        <v>54</v>
      </c>
      <c r="AD293" s="2">
        <f t="shared" si="75"/>
        <v>0</v>
      </c>
      <c r="AE293" s="2">
        <f t="shared" si="76"/>
        <v>0</v>
      </c>
      <c r="AF293" s="2">
        <f t="shared" si="77"/>
        <v>44</v>
      </c>
      <c r="AG293" s="2">
        <f t="shared" si="78"/>
        <v>0</v>
      </c>
      <c r="AH293" s="2">
        <f t="shared" si="79"/>
        <v>0</v>
      </c>
      <c r="AI293" s="1">
        <f t="shared" si="80"/>
        <v>84.96</v>
      </c>
      <c r="AJ293" s="1">
        <f t="shared" si="81"/>
        <v>141.6</v>
      </c>
      <c r="AK293" s="1" t="str">
        <f t="shared" si="82"/>
        <v/>
      </c>
      <c r="AL293" s="1" t="str">
        <f t="shared" si="83"/>
        <v/>
      </c>
      <c r="AM293" s="1">
        <f t="shared" si="68"/>
        <v>130</v>
      </c>
      <c r="AN293" s="5">
        <f t="shared" si="69"/>
        <v>0</v>
      </c>
      <c r="AO293" s="1" t="str">
        <f t="shared" si="84"/>
        <v/>
      </c>
    </row>
    <row r="294" spans="1:41">
      <c r="A294" t="s">
        <v>1045</v>
      </c>
      <c r="B294" t="s">
        <v>667</v>
      </c>
      <c r="C294" t="s">
        <v>1046</v>
      </c>
      <c r="D294">
        <v>603</v>
      </c>
      <c r="E294">
        <v>866</v>
      </c>
      <c r="F294">
        <v>1</v>
      </c>
      <c r="G294">
        <v>3</v>
      </c>
      <c r="H294">
        <v>1</v>
      </c>
      <c r="L294" t="s">
        <v>1047</v>
      </c>
      <c r="M294" t="s">
        <v>1048</v>
      </c>
      <c r="N294" t="s">
        <v>942</v>
      </c>
      <c r="O294">
        <v>0</v>
      </c>
      <c r="P294" t="s">
        <v>373</v>
      </c>
      <c r="Q294" t="s">
        <v>374</v>
      </c>
      <c r="R294">
        <v>3136</v>
      </c>
      <c r="S294" t="s">
        <v>1048</v>
      </c>
      <c r="U294" t="s">
        <v>83</v>
      </c>
      <c r="V294" t="s">
        <v>375</v>
      </c>
      <c r="W294">
        <v>12276687</v>
      </c>
      <c r="X294" t="s">
        <v>376</v>
      </c>
      <c r="Y294">
        <f t="shared" si="70"/>
        <v>1.566594</v>
      </c>
      <c r="Z294">
        <f t="shared" si="71"/>
        <v>8.8140000000000001</v>
      </c>
      <c r="AA294">
        <f t="shared" si="72"/>
        <v>1.8089999999999999</v>
      </c>
      <c r="AB294" s="2">
        <f t="shared" si="73"/>
        <v>48</v>
      </c>
      <c r="AC294" s="2">
        <f t="shared" si="74"/>
        <v>41</v>
      </c>
      <c r="AD294" s="2">
        <f t="shared" si="75"/>
        <v>0</v>
      </c>
      <c r="AE294" s="2">
        <f t="shared" si="76"/>
        <v>0</v>
      </c>
      <c r="AF294" s="2">
        <f t="shared" si="77"/>
        <v>34</v>
      </c>
      <c r="AG294" s="2">
        <f t="shared" si="78"/>
        <v>0</v>
      </c>
      <c r="AH294" s="2">
        <f t="shared" si="79"/>
        <v>0</v>
      </c>
      <c r="AI294" s="1">
        <f t="shared" si="80"/>
        <v>317.30399999999997</v>
      </c>
      <c r="AJ294" s="1">
        <f t="shared" si="81"/>
        <v>108.53999999999999</v>
      </c>
      <c r="AK294" s="1" t="str">
        <f t="shared" si="82"/>
        <v/>
      </c>
      <c r="AL294" s="1" t="str">
        <f t="shared" si="83"/>
        <v/>
      </c>
      <c r="AM294" s="1">
        <f t="shared" si="68"/>
        <v>390</v>
      </c>
      <c r="AN294" s="5">
        <f t="shared" si="69"/>
        <v>0</v>
      </c>
      <c r="AO294" s="1" t="str">
        <f t="shared" si="84"/>
        <v/>
      </c>
    </row>
    <row r="295" spans="1:41">
      <c r="A295" t="s">
        <v>1049</v>
      </c>
      <c r="B295" t="s">
        <v>667</v>
      </c>
      <c r="C295" t="s">
        <v>1050</v>
      </c>
      <c r="D295">
        <v>603</v>
      </c>
      <c r="E295">
        <v>866</v>
      </c>
      <c r="F295">
        <v>1</v>
      </c>
      <c r="G295">
        <v>3</v>
      </c>
      <c r="H295">
        <v>1</v>
      </c>
      <c r="L295" t="s">
        <v>1047</v>
      </c>
      <c r="M295" t="s">
        <v>1048</v>
      </c>
      <c r="N295" t="s">
        <v>942</v>
      </c>
      <c r="O295">
        <v>0</v>
      </c>
      <c r="P295" t="s">
        <v>378</v>
      </c>
      <c r="Q295" t="s">
        <v>374</v>
      </c>
      <c r="R295">
        <v>3136</v>
      </c>
      <c r="S295" t="s">
        <v>1048</v>
      </c>
      <c r="U295" t="s">
        <v>83</v>
      </c>
      <c r="V295" t="s">
        <v>375</v>
      </c>
      <c r="W295">
        <v>12277135</v>
      </c>
      <c r="X295" t="s">
        <v>379</v>
      </c>
      <c r="Y295">
        <f t="shared" si="70"/>
        <v>1.566594</v>
      </c>
      <c r="Z295">
        <f t="shared" si="71"/>
        <v>8.8140000000000001</v>
      </c>
      <c r="AA295">
        <f t="shared" si="72"/>
        <v>1.8089999999999999</v>
      </c>
      <c r="AB295" s="2">
        <f t="shared" si="73"/>
        <v>51</v>
      </c>
      <c r="AC295" s="2">
        <f t="shared" si="74"/>
        <v>44</v>
      </c>
      <c r="AD295" s="2">
        <f t="shared" si="75"/>
        <v>0</v>
      </c>
      <c r="AE295" s="2">
        <f t="shared" si="76"/>
        <v>0</v>
      </c>
      <c r="AF295" s="2">
        <f t="shared" si="77"/>
        <v>34</v>
      </c>
      <c r="AG295" s="2">
        <f t="shared" si="78"/>
        <v>0</v>
      </c>
      <c r="AH295" s="2">
        <f t="shared" si="79"/>
        <v>0</v>
      </c>
      <c r="AI295" s="1">
        <f t="shared" si="80"/>
        <v>317.30399999999997</v>
      </c>
      <c r="AJ295" s="1">
        <f t="shared" si="81"/>
        <v>108.53999999999999</v>
      </c>
      <c r="AK295" s="1" t="str">
        <f t="shared" si="82"/>
        <v/>
      </c>
      <c r="AL295" s="1" t="str">
        <f t="shared" si="83"/>
        <v/>
      </c>
      <c r="AM295" s="1">
        <f t="shared" si="68"/>
        <v>390</v>
      </c>
      <c r="AN295" s="5">
        <f t="shared" si="69"/>
        <v>0</v>
      </c>
      <c r="AO295" s="1" t="str">
        <f t="shared" si="84"/>
        <v/>
      </c>
    </row>
    <row r="296" spans="1:41">
      <c r="A296" t="s">
        <v>1045</v>
      </c>
      <c r="B296" t="s">
        <v>667</v>
      </c>
      <c r="C296" t="s">
        <v>1051</v>
      </c>
      <c r="D296">
        <v>603</v>
      </c>
      <c r="E296">
        <v>866</v>
      </c>
      <c r="F296">
        <v>1</v>
      </c>
      <c r="G296">
        <v>1</v>
      </c>
      <c r="H296">
        <v>1</v>
      </c>
      <c r="L296" t="s">
        <v>1047</v>
      </c>
      <c r="M296" t="s">
        <v>1048</v>
      </c>
      <c r="N296" t="s">
        <v>942</v>
      </c>
      <c r="O296">
        <v>0</v>
      </c>
      <c r="P296" t="s">
        <v>381</v>
      </c>
      <c r="Q296" t="s">
        <v>374</v>
      </c>
      <c r="R296">
        <v>3136</v>
      </c>
      <c r="S296" t="s">
        <v>1048</v>
      </c>
      <c r="U296" t="s">
        <v>83</v>
      </c>
      <c r="V296" t="s">
        <v>375</v>
      </c>
      <c r="W296">
        <v>12277320</v>
      </c>
      <c r="X296" t="s">
        <v>376</v>
      </c>
      <c r="Y296">
        <f t="shared" si="70"/>
        <v>0.52219800000000005</v>
      </c>
      <c r="Z296">
        <f t="shared" si="71"/>
        <v>2.9380000000000002</v>
      </c>
      <c r="AA296">
        <f t="shared" si="72"/>
        <v>0.60299999999999998</v>
      </c>
      <c r="AB296" s="2">
        <f t="shared" si="73"/>
        <v>48</v>
      </c>
      <c r="AC296" s="2">
        <f t="shared" si="74"/>
        <v>41</v>
      </c>
      <c r="AD296" s="2">
        <f t="shared" si="75"/>
        <v>0</v>
      </c>
      <c r="AE296" s="2">
        <f t="shared" si="76"/>
        <v>0</v>
      </c>
      <c r="AF296" s="2">
        <f t="shared" si="77"/>
        <v>34</v>
      </c>
      <c r="AG296" s="2">
        <f t="shared" si="78"/>
        <v>0</v>
      </c>
      <c r="AH296" s="2">
        <f t="shared" si="79"/>
        <v>0</v>
      </c>
      <c r="AI296" s="1">
        <f t="shared" si="80"/>
        <v>105.768</v>
      </c>
      <c r="AJ296" s="1">
        <f t="shared" si="81"/>
        <v>36.18</v>
      </c>
      <c r="AK296" s="1" t="str">
        <f t="shared" si="82"/>
        <v/>
      </c>
      <c r="AL296" s="1" t="str">
        <f t="shared" si="83"/>
        <v/>
      </c>
      <c r="AM296" s="1">
        <f t="shared" si="68"/>
        <v>130</v>
      </c>
      <c r="AN296" s="5">
        <f t="shared" si="69"/>
        <v>0</v>
      </c>
      <c r="AO296" s="1" t="str">
        <f t="shared" si="84"/>
        <v/>
      </c>
    </row>
    <row r="297" spans="1:41">
      <c r="A297" t="s">
        <v>1052</v>
      </c>
      <c r="B297" t="s">
        <v>667</v>
      </c>
      <c r="C297" t="s">
        <v>1053</v>
      </c>
      <c r="D297">
        <v>556</v>
      </c>
      <c r="E297">
        <v>561</v>
      </c>
      <c r="F297">
        <v>1</v>
      </c>
      <c r="G297">
        <v>3</v>
      </c>
      <c r="H297">
        <v>1</v>
      </c>
      <c r="J297">
        <v>1</v>
      </c>
      <c r="L297" t="s">
        <v>1054</v>
      </c>
      <c r="M297" t="s">
        <v>1055</v>
      </c>
      <c r="N297" t="s">
        <v>942</v>
      </c>
      <c r="O297">
        <v>0</v>
      </c>
      <c r="P297" t="s">
        <v>373</v>
      </c>
      <c r="Q297" t="s">
        <v>374</v>
      </c>
      <c r="R297">
        <v>3136</v>
      </c>
      <c r="S297" t="s">
        <v>1055</v>
      </c>
      <c r="U297" t="s">
        <v>83</v>
      </c>
      <c r="V297" t="s">
        <v>375</v>
      </c>
      <c r="W297">
        <v>12276664</v>
      </c>
      <c r="X297" t="s">
        <v>376</v>
      </c>
      <c r="Y297">
        <f t="shared" si="70"/>
        <v>0.93574800000000002</v>
      </c>
      <c r="Z297">
        <f t="shared" si="71"/>
        <v>6.702</v>
      </c>
      <c r="AA297">
        <f t="shared" si="72"/>
        <v>3.351</v>
      </c>
      <c r="AB297" s="2">
        <f t="shared" si="73"/>
        <v>62</v>
      </c>
      <c r="AC297" s="2">
        <f t="shared" si="74"/>
        <v>48</v>
      </c>
      <c r="AD297" s="2">
        <f t="shared" si="75"/>
        <v>0</v>
      </c>
      <c r="AE297" s="2">
        <f t="shared" si="76"/>
        <v>55</v>
      </c>
      <c r="AF297" s="2">
        <f t="shared" si="77"/>
        <v>41</v>
      </c>
      <c r="AG297" s="2">
        <f t="shared" si="78"/>
        <v>0</v>
      </c>
      <c r="AH297" s="2">
        <f t="shared" si="79"/>
        <v>0</v>
      </c>
      <c r="AI297" s="1">
        <f t="shared" si="80"/>
        <v>241.27199999999999</v>
      </c>
      <c r="AJ297" s="1">
        <f t="shared" si="81"/>
        <v>201.06</v>
      </c>
      <c r="AK297" s="1" t="str">
        <f t="shared" si="82"/>
        <v/>
      </c>
      <c r="AL297" s="1">
        <f t="shared" si="83"/>
        <v>720</v>
      </c>
      <c r="AM297" s="1">
        <f t="shared" si="68"/>
        <v>390</v>
      </c>
      <c r="AN297" s="5">
        <f t="shared" si="69"/>
        <v>0</v>
      </c>
      <c r="AO297" s="1" t="str">
        <f t="shared" si="84"/>
        <v/>
      </c>
    </row>
    <row r="298" spans="1:41">
      <c r="A298" t="s">
        <v>1056</v>
      </c>
      <c r="B298" t="s">
        <v>667</v>
      </c>
      <c r="C298" t="s">
        <v>1057</v>
      </c>
      <c r="D298">
        <v>556</v>
      </c>
      <c r="E298">
        <v>561</v>
      </c>
      <c r="F298">
        <v>1</v>
      </c>
      <c r="G298">
        <v>3</v>
      </c>
      <c r="H298">
        <v>1</v>
      </c>
      <c r="J298">
        <v>1</v>
      </c>
      <c r="L298" t="s">
        <v>1054</v>
      </c>
      <c r="M298" t="s">
        <v>1055</v>
      </c>
      <c r="N298" t="s">
        <v>942</v>
      </c>
      <c r="O298">
        <v>0</v>
      </c>
      <c r="P298" t="s">
        <v>378</v>
      </c>
      <c r="Q298" t="s">
        <v>374</v>
      </c>
      <c r="R298">
        <v>3136</v>
      </c>
      <c r="S298" t="s">
        <v>1055</v>
      </c>
      <c r="U298" t="s">
        <v>83</v>
      </c>
      <c r="V298" t="s">
        <v>375</v>
      </c>
      <c r="W298">
        <v>12277109</v>
      </c>
      <c r="X298" t="s">
        <v>379</v>
      </c>
      <c r="Y298">
        <f t="shared" si="70"/>
        <v>0.93574800000000002</v>
      </c>
      <c r="Z298">
        <f t="shared" si="71"/>
        <v>6.702</v>
      </c>
      <c r="AA298">
        <f t="shared" si="72"/>
        <v>3.351</v>
      </c>
      <c r="AB298" s="2">
        <f t="shared" si="73"/>
        <v>74</v>
      </c>
      <c r="AC298" s="2">
        <f t="shared" si="74"/>
        <v>54</v>
      </c>
      <c r="AD298" s="2">
        <f t="shared" si="75"/>
        <v>0</v>
      </c>
      <c r="AE298" s="2">
        <f t="shared" si="76"/>
        <v>64</v>
      </c>
      <c r="AF298" s="2">
        <f t="shared" si="77"/>
        <v>44</v>
      </c>
      <c r="AG298" s="2">
        <f t="shared" si="78"/>
        <v>0</v>
      </c>
      <c r="AH298" s="2">
        <f t="shared" si="79"/>
        <v>0</v>
      </c>
      <c r="AI298" s="1">
        <f t="shared" si="80"/>
        <v>241.27199999999999</v>
      </c>
      <c r="AJ298" s="1">
        <f t="shared" si="81"/>
        <v>201.06</v>
      </c>
      <c r="AK298" s="1" t="str">
        <f t="shared" si="82"/>
        <v/>
      </c>
      <c r="AL298" s="1">
        <f t="shared" si="83"/>
        <v>720</v>
      </c>
      <c r="AM298" s="1">
        <f t="shared" si="68"/>
        <v>390</v>
      </c>
      <c r="AN298" s="5">
        <f t="shared" si="69"/>
        <v>0</v>
      </c>
      <c r="AO298" s="1" t="str">
        <f t="shared" si="84"/>
        <v/>
      </c>
    </row>
    <row r="299" spans="1:41">
      <c r="A299" t="s">
        <v>1052</v>
      </c>
      <c r="B299" t="s">
        <v>667</v>
      </c>
      <c r="C299" t="s">
        <v>1058</v>
      </c>
      <c r="D299">
        <v>556</v>
      </c>
      <c r="E299">
        <v>561</v>
      </c>
      <c r="F299">
        <v>1</v>
      </c>
      <c r="G299">
        <v>1</v>
      </c>
      <c r="H299">
        <v>1</v>
      </c>
      <c r="J299">
        <v>1</v>
      </c>
      <c r="L299" t="s">
        <v>1054</v>
      </c>
      <c r="M299" t="s">
        <v>1055</v>
      </c>
      <c r="N299" t="s">
        <v>942</v>
      </c>
      <c r="O299">
        <v>0</v>
      </c>
      <c r="P299" t="s">
        <v>381</v>
      </c>
      <c r="Q299" t="s">
        <v>374</v>
      </c>
      <c r="R299">
        <v>3136</v>
      </c>
      <c r="S299" t="s">
        <v>1055</v>
      </c>
      <c r="U299" t="s">
        <v>83</v>
      </c>
      <c r="V299" t="s">
        <v>375</v>
      </c>
      <c r="W299">
        <v>12277297</v>
      </c>
      <c r="X299" t="s">
        <v>376</v>
      </c>
      <c r="Y299">
        <f t="shared" si="70"/>
        <v>0.31191600000000003</v>
      </c>
      <c r="Z299">
        <f t="shared" si="71"/>
        <v>2.234</v>
      </c>
      <c r="AA299">
        <f t="shared" si="72"/>
        <v>1.117</v>
      </c>
      <c r="AB299" s="2">
        <f t="shared" si="73"/>
        <v>62</v>
      </c>
      <c r="AC299" s="2">
        <f t="shared" si="74"/>
        <v>48</v>
      </c>
      <c r="AD299" s="2">
        <f t="shared" si="75"/>
        <v>0</v>
      </c>
      <c r="AE299" s="2">
        <f t="shared" si="76"/>
        <v>55</v>
      </c>
      <c r="AF299" s="2">
        <f t="shared" si="77"/>
        <v>41</v>
      </c>
      <c r="AG299" s="2">
        <f t="shared" si="78"/>
        <v>0</v>
      </c>
      <c r="AH299" s="2">
        <f t="shared" si="79"/>
        <v>0</v>
      </c>
      <c r="AI299" s="1">
        <f t="shared" si="80"/>
        <v>80.424000000000007</v>
      </c>
      <c r="AJ299" s="1">
        <f t="shared" si="81"/>
        <v>67.02</v>
      </c>
      <c r="AK299" s="1" t="str">
        <f t="shared" si="82"/>
        <v/>
      </c>
      <c r="AL299" s="1">
        <f t="shared" si="83"/>
        <v>240</v>
      </c>
      <c r="AM299" s="1">
        <f t="shared" si="68"/>
        <v>130</v>
      </c>
      <c r="AN299" s="5">
        <f t="shared" si="69"/>
        <v>0</v>
      </c>
      <c r="AO299" s="1" t="str">
        <f t="shared" si="84"/>
        <v/>
      </c>
    </row>
    <row r="300" spans="1:41">
      <c r="A300" t="s">
        <v>1059</v>
      </c>
      <c r="B300" t="s">
        <v>667</v>
      </c>
      <c r="C300" t="s">
        <v>1060</v>
      </c>
      <c r="D300">
        <v>602</v>
      </c>
      <c r="E300">
        <v>578</v>
      </c>
      <c r="F300">
        <v>1</v>
      </c>
      <c r="G300">
        <v>3</v>
      </c>
      <c r="H300">
        <v>1</v>
      </c>
      <c r="I300">
        <v>1</v>
      </c>
      <c r="J300">
        <v>1</v>
      </c>
      <c r="K300">
        <v>1</v>
      </c>
      <c r="L300" t="s">
        <v>1061</v>
      </c>
      <c r="M300" t="s">
        <v>1062</v>
      </c>
      <c r="N300" t="s">
        <v>942</v>
      </c>
      <c r="O300">
        <v>0</v>
      </c>
      <c r="P300" t="s">
        <v>378</v>
      </c>
      <c r="Q300" t="s">
        <v>374</v>
      </c>
      <c r="R300">
        <v>3136</v>
      </c>
      <c r="S300" t="s">
        <v>1062</v>
      </c>
      <c r="U300" t="s">
        <v>83</v>
      </c>
      <c r="V300" t="s">
        <v>375</v>
      </c>
      <c r="W300">
        <v>12277139</v>
      </c>
      <c r="X300" t="s">
        <v>379</v>
      </c>
      <c r="Y300">
        <f t="shared" si="70"/>
        <v>1.043868</v>
      </c>
      <c r="Z300">
        <f t="shared" si="71"/>
        <v>7.08</v>
      </c>
      <c r="AA300">
        <f t="shared" si="72"/>
        <v>7.08</v>
      </c>
      <c r="AB300" s="2">
        <f t="shared" si="73"/>
        <v>62</v>
      </c>
      <c r="AC300" s="2">
        <f t="shared" si="74"/>
        <v>48</v>
      </c>
      <c r="AD300" s="2">
        <f t="shared" si="75"/>
        <v>0</v>
      </c>
      <c r="AE300" s="2">
        <f t="shared" si="76"/>
        <v>55</v>
      </c>
      <c r="AF300" s="2">
        <f t="shared" si="77"/>
        <v>41</v>
      </c>
      <c r="AG300" s="2">
        <f t="shared" si="78"/>
        <v>0</v>
      </c>
      <c r="AH300" s="2">
        <f t="shared" si="79"/>
        <v>0</v>
      </c>
      <c r="AI300" s="1">
        <f t="shared" si="80"/>
        <v>254.88</v>
      </c>
      <c r="AJ300" s="1">
        <f t="shared" si="81"/>
        <v>424.8</v>
      </c>
      <c r="AK300" s="1" t="str">
        <f t="shared" si="82"/>
        <v/>
      </c>
      <c r="AL300" s="1">
        <f t="shared" si="83"/>
        <v>720</v>
      </c>
      <c r="AM300" s="1">
        <f t="shared" si="68"/>
        <v>390</v>
      </c>
      <c r="AN300" s="5">
        <f t="shared" si="69"/>
        <v>0</v>
      </c>
      <c r="AO300" s="1" t="str">
        <f t="shared" si="84"/>
        <v/>
      </c>
    </row>
    <row r="301" spans="1:41">
      <c r="A301" t="s">
        <v>245</v>
      </c>
      <c r="B301" t="s">
        <v>667</v>
      </c>
      <c r="C301" t="s">
        <v>1063</v>
      </c>
      <c r="D301">
        <v>674</v>
      </c>
      <c r="E301">
        <v>398</v>
      </c>
      <c r="F301">
        <v>1</v>
      </c>
      <c r="G301">
        <v>4</v>
      </c>
      <c r="H301">
        <v>1</v>
      </c>
      <c r="I301">
        <v>1</v>
      </c>
      <c r="J301">
        <v>1</v>
      </c>
      <c r="K301">
        <v>1</v>
      </c>
      <c r="L301" t="s">
        <v>247</v>
      </c>
      <c r="M301" t="s">
        <v>248</v>
      </c>
      <c r="N301" t="s">
        <v>942</v>
      </c>
      <c r="O301">
        <v>0</v>
      </c>
      <c r="P301" t="s">
        <v>441</v>
      </c>
      <c r="Q301" t="s">
        <v>374</v>
      </c>
      <c r="R301">
        <v>3136</v>
      </c>
      <c r="S301" t="s">
        <v>248</v>
      </c>
      <c r="U301" t="s">
        <v>83</v>
      </c>
      <c r="V301" t="s">
        <v>234</v>
      </c>
      <c r="W301">
        <v>12278971</v>
      </c>
      <c r="X301" t="s">
        <v>249</v>
      </c>
      <c r="Y301">
        <f t="shared" si="70"/>
        <v>1.073008</v>
      </c>
      <c r="Z301">
        <f t="shared" si="71"/>
        <v>8.5760000000000005</v>
      </c>
      <c r="AA301">
        <f t="shared" si="72"/>
        <v>8.5760000000000005</v>
      </c>
      <c r="AB301" s="2">
        <f t="shared" si="73"/>
        <v>34</v>
      </c>
      <c r="AC301" s="2">
        <f t="shared" si="74"/>
        <v>27</v>
      </c>
      <c r="AD301" s="2">
        <f t="shared" si="75"/>
        <v>0</v>
      </c>
      <c r="AE301" s="2">
        <f t="shared" si="76"/>
        <v>0</v>
      </c>
      <c r="AF301" s="2">
        <f t="shared" si="77"/>
        <v>20</v>
      </c>
      <c r="AG301" s="2">
        <f t="shared" si="78"/>
        <v>0</v>
      </c>
      <c r="AH301" s="2">
        <f t="shared" si="79"/>
        <v>0</v>
      </c>
      <c r="AI301" s="1">
        <f t="shared" si="80"/>
        <v>308.73599999999999</v>
      </c>
      <c r="AJ301" s="1">
        <f t="shared" si="81"/>
        <v>514.56000000000006</v>
      </c>
      <c r="AK301" s="1" t="str">
        <f t="shared" si="82"/>
        <v/>
      </c>
      <c r="AL301" s="1" t="str">
        <f t="shared" si="83"/>
        <v/>
      </c>
      <c r="AM301" s="1">
        <f t="shared" si="68"/>
        <v>520</v>
      </c>
      <c r="AN301" s="5">
        <f t="shared" si="69"/>
        <v>0</v>
      </c>
      <c r="AO301" s="1" t="str">
        <f t="shared" si="84"/>
        <v/>
      </c>
    </row>
    <row r="302" spans="1:41">
      <c r="A302" t="s">
        <v>1064</v>
      </c>
      <c r="B302" t="s">
        <v>667</v>
      </c>
      <c r="C302" t="s">
        <v>1065</v>
      </c>
      <c r="D302">
        <v>866</v>
      </c>
      <c r="E302">
        <v>39</v>
      </c>
      <c r="F302">
        <v>1</v>
      </c>
      <c r="G302">
        <v>3</v>
      </c>
      <c r="H302">
        <v>1</v>
      </c>
      <c r="L302" t="s">
        <v>1066</v>
      </c>
      <c r="M302" t="s">
        <v>1067</v>
      </c>
      <c r="N302" t="s">
        <v>942</v>
      </c>
      <c r="O302">
        <v>0</v>
      </c>
      <c r="P302" t="s">
        <v>373</v>
      </c>
      <c r="Q302" t="s">
        <v>374</v>
      </c>
      <c r="R302">
        <v>3136</v>
      </c>
      <c r="S302" t="s">
        <v>1067</v>
      </c>
      <c r="U302" t="s">
        <v>83</v>
      </c>
      <c r="V302" t="s">
        <v>375</v>
      </c>
      <c r="W302">
        <v>12276735</v>
      </c>
      <c r="X302" t="s">
        <v>376</v>
      </c>
      <c r="Y302">
        <f t="shared" si="70"/>
        <v>0.101322</v>
      </c>
      <c r="Z302">
        <f t="shared" si="71"/>
        <v>5.43</v>
      </c>
      <c r="AA302">
        <f t="shared" si="72"/>
        <v>2.5979999999999999</v>
      </c>
      <c r="AB302" s="2">
        <f t="shared" si="73"/>
        <v>56</v>
      </c>
      <c r="AC302" s="2">
        <f t="shared" si="74"/>
        <v>45</v>
      </c>
      <c r="AD302" s="2">
        <f t="shared" si="75"/>
        <v>0</v>
      </c>
      <c r="AE302" s="2">
        <f t="shared" si="76"/>
        <v>0</v>
      </c>
      <c r="AF302" s="2">
        <f t="shared" si="77"/>
        <v>34</v>
      </c>
      <c r="AG302" s="2">
        <f t="shared" si="78"/>
        <v>0</v>
      </c>
      <c r="AH302" s="2">
        <f t="shared" si="79"/>
        <v>0</v>
      </c>
      <c r="AI302" s="1">
        <f t="shared" si="80"/>
        <v>195.48</v>
      </c>
      <c r="AJ302" s="1">
        <f t="shared" si="81"/>
        <v>155.88</v>
      </c>
      <c r="AK302" s="1" t="str">
        <f t="shared" si="82"/>
        <v/>
      </c>
      <c r="AL302" s="1" t="str">
        <f t="shared" si="83"/>
        <v/>
      </c>
      <c r="AM302" s="1">
        <f t="shared" si="68"/>
        <v>390</v>
      </c>
      <c r="AN302" s="5">
        <f t="shared" si="69"/>
        <v>0</v>
      </c>
      <c r="AO302" s="1" t="str">
        <f t="shared" si="84"/>
        <v/>
      </c>
    </row>
    <row r="303" spans="1:41">
      <c r="A303" t="s">
        <v>1064</v>
      </c>
      <c r="B303" t="s">
        <v>667</v>
      </c>
      <c r="C303" t="s">
        <v>1068</v>
      </c>
      <c r="D303">
        <v>866</v>
      </c>
      <c r="E303">
        <v>39</v>
      </c>
      <c r="F303">
        <v>1</v>
      </c>
      <c r="G303">
        <v>3</v>
      </c>
      <c r="H303">
        <v>1</v>
      </c>
      <c r="L303" t="s">
        <v>1066</v>
      </c>
      <c r="M303" t="s">
        <v>1067</v>
      </c>
      <c r="N303" t="s">
        <v>942</v>
      </c>
      <c r="O303">
        <v>0</v>
      </c>
      <c r="P303" t="s">
        <v>378</v>
      </c>
      <c r="Q303" t="s">
        <v>374</v>
      </c>
      <c r="R303">
        <v>3136</v>
      </c>
      <c r="S303" t="s">
        <v>1067</v>
      </c>
      <c r="U303" t="s">
        <v>83</v>
      </c>
      <c r="V303" t="s">
        <v>375</v>
      </c>
      <c r="W303">
        <v>12277053</v>
      </c>
      <c r="X303" t="s">
        <v>379</v>
      </c>
      <c r="Y303">
        <f t="shared" si="70"/>
        <v>0.101322</v>
      </c>
      <c r="Z303">
        <f t="shared" si="71"/>
        <v>5.43</v>
      </c>
      <c r="AA303">
        <f t="shared" si="72"/>
        <v>2.5979999999999999</v>
      </c>
      <c r="AB303" s="2">
        <f t="shared" si="73"/>
        <v>56</v>
      </c>
      <c r="AC303" s="2">
        <f t="shared" si="74"/>
        <v>45</v>
      </c>
      <c r="AD303" s="2">
        <f t="shared" si="75"/>
        <v>0</v>
      </c>
      <c r="AE303" s="2">
        <f t="shared" si="76"/>
        <v>0</v>
      </c>
      <c r="AF303" s="2">
        <f t="shared" si="77"/>
        <v>34</v>
      </c>
      <c r="AG303" s="2">
        <f t="shared" si="78"/>
        <v>0</v>
      </c>
      <c r="AH303" s="2">
        <f t="shared" si="79"/>
        <v>0</v>
      </c>
      <c r="AI303" s="1">
        <f t="shared" si="80"/>
        <v>195.48</v>
      </c>
      <c r="AJ303" s="1">
        <f t="shared" si="81"/>
        <v>155.88</v>
      </c>
      <c r="AK303" s="1" t="str">
        <f t="shared" si="82"/>
        <v/>
      </c>
      <c r="AL303" s="1" t="str">
        <f t="shared" si="83"/>
        <v/>
      </c>
      <c r="AM303" s="1">
        <f t="shared" si="68"/>
        <v>390</v>
      </c>
      <c r="AN303" s="5">
        <f t="shared" si="69"/>
        <v>0</v>
      </c>
      <c r="AO303" s="1" t="str">
        <f t="shared" si="84"/>
        <v/>
      </c>
    </row>
    <row r="304" spans="1:41">
      <c r="A304" t="s">
        <v>1064</v>
      </c>
      <c r="B304" t="s">
        <v>667</v>
      </c>
      <c r="C304" t="s">
        <v>1069</v>
      </c>
      <c r="D304">
        <v>866</v>
      </c>
      <c r="E304">
        <v>39</v>
      </c>
      <c r="F304">
        <v>1</v>
      </c>
      <c r="G304">
        <v>1</v>
      </c>
      <c r="H304">
        <v>1</v>
      </c>
      <c r="L304" t="s">
        <v>1066</v>
      </c>
      <c r="M304" t="s">
        <v>1067</v>
      </c>
      <c r="N304" t="s">
        <v>942</v>
      </c>
      <c r="O304">
        <v>0</v>
      </c>
      <c r="P304" t="s">
        <v>381</v>
      </c>
      <c r="Q304" t="s">
        <v>374</v>
      </c>
      <c r="R304">
        <v>3136</v>
      </c>
      <c r="S304" t="s">
        <v>1067</v>
      </c>
      <c r="U304" t="s">
        <v>83</v>
      </c>
      <c r="V304" t="s">
        <v>375</v>
      </c>
      <c r="W304">
        <v>12277368</v>
      </c>
      <c r="X304" t="s">
        <v>376</v>
      </c>
      <c r="Y304">
        <f t="shared" si="70"/>
        <v>3.3773999999999998E-2</v>
      </c>
      <c r="Z304">
        <f t="shared" si="71"/>
        <v>1.81</v>
      </c>
      <c r="AA304">
        <f t="shared" si="72"/>
        <v>0.86599999999999999</v>
      </c>
      <c r="AB304" s="2">
        <f t="shared" si="73"/>
        <v>56</v>
      </c>
      <c r="AC304" s="2">
        <f t="shared" si="74"/>
        <v>45</v>
      </c>
      <c r="AD304" s="2">
        <f t="shared" si="75"/>
        <v>0</v>
      </c>
      <c r="AE304" s="2">
        <f t="shared" si="76"/>
        <v>0</v>
      </c>
      <c r="AF304" s="2">
        <f t="shared" si="77"/>
        <v>34</v>
      </c>
      <c r="AG304" s="2">
        <f t="shared" si="78"/>
        <v>0</v>
      </c>
      <c r="AH304" s="2">
        <f t="shared" si="79"/>
        <v>0</v>
      </c>
      <c r="AI304" s="1">
        <f t="shared" si="80"/>
        <v>65.16</v>
      </c>
      <c r="AJ304" s="1">
        <f t="shared" si="81"/>
        <v>51.96</v>
      </c>
      <c r="AK304" s="1" t="str">
        <f t="shared" si="82"/>
        <v/>
      </c>
      <c r="AL304" s="1" t="str">
        <f t="shared" si="83"/>
        <v/>
      </c>
      <c r="AM304" s="1">
        <f t="shared" si="68"/>
        <v>130</v>
      </c>
      <c r="AN304" s="5">
        <f t="shared" si="69"/>
        <v>0</v>
      </c>
      <c r="AO304" s="1" t="str">
        <f t="shared" si="84"/>
        <v/>
      </c>
    </row>
    <row r="305" spans="1:41">
      <c r="A305" t="s">
        <v>1070</v>
      </c>
      <c r="B305" t="s">
        <v>667</v>
      </c>
      <c r="C305" t="s">
        <v>1071</v>
      </c>
      <c r="D305">
        <v>866</v>
      </c>
      <c r="E305">
        <v>39</v>
      </c>
      <c r="F305">
        <v>1</v>
      </c>
      <c r="G305">
        <v>3</v>
      </c>
      <c r="H305">
        <v>1</v>
      </c>
      <c r="L305" t="s">
        <v>1072</v>
      </c>
      <c r="M305" t="s">
        <v>1073</v>
      </c>
      <c r="N305" t="s">
        <v>942</v>
      </c>
      <c r="O305">
        <v>0</v>
      </c>
      <c r="P305" t="s">
        <v>373</v>
      </c>
      <c r="Q305" t="s">
        <v>374</v>
      </c>
      <c r="R305">
        <v>3136</v>
      </c>
      <c r="S305" t="s">
        <v>1073</v>
      </c>
      <c r="U305" t="s">
        <v>83</v>
      </c>
      <c r="V305" t="s">
        <v>375</v>
      </c>
      <c r="W305">
        <v>12276741</v>
      </c>
      <c r="X305" t="s">
        <v>376</v>
      </c>
      <c r="Y305">
        <f t="shared" si="70"/>
        <v>0.101322</v>
      </c>
      <c r="Z305">
        <f t="shared" si="71"/>
        <v>5.43</v>
      </c>
      <c r="AA305">
        <f t="shared" si="72"/>
        <v>2.5979999999999999</v>
      </c>
      <c r="AB305" s="2">
        <f t="shared" si="73"/>
        <v>56</v>
      </c>
      <c r="AC305" s="2">
        <f t="shared" si="74"/>
        <v>45</v>
      </c>
      <c r="AD305" s="2">
        <f t="shared" si="75"/>
        <v>0</v>
      </c>
      <c r="AE305" s="2">
        <f t="shared" si="76"/>
        <v>0</v>
      </c>
      <c r="AF305" s="2">
        <f t="shared" si="77"/>
        <v>34</v>
      </c>
      <c r="AG305" s="2">
        <f t="shared" si="78"/>
        <v>0</v>
      </c>
      <c r="AH305" s="2">
        <f t="shared" si="79"/>
        <v>0</v>
      </c>
      <c r="AI305" s="1">
        <f t="shared" si="80"/>
        <v>195.48</v>
      </c>
      <c r="AJ305" s="1">
        <f t="shared" si="81"/>
        <v>155.88</v>
      </c>
      <c r="AK305" s="1" t="str">
        <f t="shared" si="82"/>
        <v/>
      </c>
      <c r="AL305" s="1" t="str">
        <f t="shared" si="83"/>
        <v/>
      </c>
      <c r="AM305" s="1">
        <f t="shared" si="68"/>
        <v>390</v>
      </c>
      <c r="AN305" s="5">
        <f t="shared" si="69"/>
        <v>0</v>
      </c>
      <c r="AO305" s="1" t="str">
        <f t="shared" si="84"/>
        <v/>
      </c>
    </row>
    <row r="306" spans="1:41">
      <c r="A306" t="s">
        <v>1070</v>
      </c>
      <c r="B306" t="s">
        <v>667</v>
      </c>
      <c r="C306" t="s">
        <v>1074</v>
      </c>
      <c r="D306">
        <v>866</v>
      </c>
      <c r="E306">
        <v>39</v>
      </c>
      <c r="F306">
        <v>1</v>
      </c>
      <c r="G306">
        <v>3</v>
      </c>
      <c r="H306">
        <v>1</v>
      </c>
      <c r="L306" t="s">
        <v>1072</v>
      </c>
      <c r="M306" t="s">
        <v>1073</v>
      </c>
      <c r="N306" t="s">
        <v>942</v>
      </c>
      <c r="O306">
        <v>0</v>
      </c>
      <c r="P306" t="s">
        <v>378</v>
      </c>
      <c r="Q306" t="s">
        <v>374</v>
      </c>
      <c r="R306">
        <v>3136</v>
      </c>
      <c r="S306" t="s">
        <v>1073</v>
      </c>
      <c r="U306" t="s">
        <v>83</v>
      </c>
      <c r="V306" t="s">
        <v>375</v>
      </c>
      <c r="W306">
        <v>12277059</v>
      </c>
      <c r="X306" t="s">
        <v>379</v>
      </c>
      <c r="Y306">
        <f t="shared" si="70"/>
        <v>0.101322</v>
      </c>
      <c r="Z306">
        <f t="shared" si="71"/>
        <v>5.43</v>
      </c>
      <c r="AA306">
        <f t="shared" si="72"/>
        <v>2.5979999999999999</v>
      </c>
      <c r="AB306" s="2">
        <f t="shared" si="73"/>
        <v>56</v>
      </c>
      <c r="AC306" s="2">
        <f t="shared" si="74"/>
        <v>45</v>
      </c>
      <c r="AD306" s="2">
        <f t="shared" si="75"/>
        <v>0</v>
      </c>
      <c r="AE306" s="2">
        <f t="shared" si="76"/>
        <v>0</v>
      </c>
      <c r="AF306" s="2">
        <f t="shared" si="77"/>
        <v>34</v>
      </c>
      <c r="AG306" s="2">
        <f t="shared" si="78"/>
        <v>0</v>
      </c>
      <c r="AH306" s="2">
        <f t="shared" si="79"/>
        <v>0</v>
      </c>
      <c r="AI306" s="1">
        <f t="shared" si="80"/>
        <v>195.48</v>
      </c>
      <c r="AJ306" s="1">
        <f t="shared" si="81"/>
        <v>155.88</v>
      </c>
      <c r="AK306" s="1" t="str">
        <f t="shared" si="82"/>
        <v/>
      </c>
      <c r="AL306" s="1" t="str">
        <f t="shared" si="83"/>
        <v/>
      </c>
      <c r="AM306" s="1">
        <f t="shared" si="68"/>
        <v>390</v>
      </c>
      <c r="AN306" s="5">
        <f t="shared" si="69"/>
        <v>0</v>
      </c>
      <c r="AO306" s="1" t="str">
        <f t="shared" si="84"/>
        <v/>
      </c>
    </row>
    <row r="307" spans="1:41">
      <c r="A307" t="s">
        <v>1070</v>
      </c>
      <c r="B307" t="s">
        <v>667</v>
      </c>
      <c r="C307" t="s">
        <v>1075</v>
      </c>
      <c r="D307">
        <v>866</v>
      </c>
      <c r="E307">
        <v>39</v>
      </c>
      <c r="F307">
        <v>1</v>
      </c>
      <c r="G307">
        <v>1</v>
      </c>
      <c r="H307">
        <v>1</v>
      </c>
      <c r="L307" t="s">
        <v>1072</v>
      </c>
      <c r="M307" t="s">
        <v>1073</v>
      </c>
      <c r="N307" t="s">
        <v>942</v>
      </c>
      <c r="O307">
        <v>0</v>
      </c>
      <c r="P307" t="s">
        <v>381</v>
      </c>
      <c r="Q307" t="s">
        <v>374</v>
      </c>
      <c r="R307">
        <v>3136</v>
      </c>
      <c r="S307" t="s">
        <v>1073</v>
      </c>
      <c r="U307" t="s">
        <v>83</v>
      </c>
      <c r="V307" t="s">
        <v>375</v>
      </c>
      <c r="W307">
        <v>12277374</v>
      </c>
      <c r="X307" t="s">
        <v>376</v>
      </c>
      <c r="Y307">
        <f t="shared" si="70"/>
        <v>3.3773999999999998E-2</v>
      </c>
      <c r="Z307">
        <f t="shared" si="71"/>
        <v>1.81</v>
      </c>
      <c r="AA307">
        <f t="shared" si="72"/>
        <v>0.86599999999999999</v>
      </c>
      <c r="AB307" s="2">
        <f t="shared" si="73"/>
        <v>56</v>
      </c>
      <c r="AC307" s="2">
        <f t="shared" si="74"/>
        <v>45</v>
      </c>
      <c r="AD307" s="2">
        <f t="shared" si="75"/>
        <v>0</v>
      </c>
      <c r="AE307" s="2">
        <f t="shared" si="76"/>
        <v>0</v>
      </c>
      <c r="AF307" s="2">
        <f t="shared" si="77"/>
        <v>34</v>
      </c>
      <c r="AG307" s="2">
        <f t="shared" si="78"/>
        <v>0</v>
      </c>
      <c r="AH307" s="2">
        <f t="shared" si="79"/>
        <v>0</v>
      </c>
      <c r="AI307" s="1">
        <f t="shared" si="80"/>
        <v>65.16</v>
      </c>
      <c r="AJ307" s="1">
        <f t="shared" si="81"/>
        <v>51.96</v>
      </c>
      <c r="AK307" s="1" t="str">
        <f t="shared" si="82"/>
        <v/>
      </c>
      <c r="AL307" s="1" t="str">
        <f t="shared" si="83"/>
        <v/>
      </c>
      <c r="AM307" s="1">
        <f t="shared" si="68"/>
        <v>130</v>
      </c>
      <c r="AN307" s="5">
        <f t="shared" si="69"/>
        <v>0</v>
      </c>
      <c r="AO307" s="1" t="str">
        <f t="shared" si="84"/>
        <v/>
      </c>
    </row>
    <row r="308" spans="1:41">
      <c r="A308" t="s">
        <v>1076</v>
      </c>
      <c r="B308" t="s">
        <v>667</v>
      </c>
      <c r="C308" t="s">
        <v>1077</v>
      </c>
      <c r="D308">
        <v>1964</v>
      </c>
      <c r="E308">
        <v>685</v>
      </c>
      <c r="F308">
        <v>1</v>
      </c>
      <c r="G308">
        <v>2</v>
      </c>
      <c r="L308" t="s">
        <v>1078</v>
      </c>
      <c r="M308" t="s">
        <v>1079</v>
      </c>
      <c r="N308" t="s">
        <v>942</v>
      </c>
      <c r="O308">
        <v>0</v>
      </c>
      <c r="P308" t="s">
        <v>566</v>
      </c>
      <c r="Q308" t="s">
        <v>374</v>
      </c>
      <c r="R308">
        <v>3136</v>
      </c>
      <c r="S308" t="s">
        <v>1079</v>
      </c>
      <c r="U308" t="s">
        <v>83</v>
      </c>
      <c r="V308" t="s">
        <v>567</v>
      </c>
      <c r="W308">
        <v>12276521</v>
      </c>
      <c r="X308" t="s">
        <v>1080</v>
      </c>
      <c r="Y308">
        <f t="shared" si="70"/>
        <v>2.69068</v>
      </c>
      <c r="Z308">
        <f t="shared" si="71"/>
        <v>10.596</v>
      </c>
      <c r="AA308">
        <f t="shared" si="72"/>
        <v>0</v>
      </c>
      <c r="AB308" s="2">
        <f t="shared" si="73"/>
        <v>26</v>
      </c>
      <c r="AC308" s="2">
        <f t="shared" si="74"/>
        <v>0</v>
      </c>
      <c r="AD308" s="2">
        <f t="shared" si="75"/>
        <v>0</v>
      </c>
      <c r="AE308" s="2">
        <f t="shared" si="76"/>
        <v>0</v>
      </c>
      <c r="AF308" s="2">
        <f t="shared" si="77"/>
        <v>18</v>
      </c>
      <c r="AG308" s="2">
        <f t="shared" si="78"/>
        <v>0</v>
      </c>
      <c r="AH308" s="2">
        <f t="shared" si="79"/>
        <v>0</v>
      </c>
      <c r="AI308" s="1">
        <f t="shared" si="80"/>
        <v>381.45600000000002</v>
      </c>
      <c r="AJ308" s="1">
        <f t="shared" si="81"/>
        <v>0</v>
      </c>
      <c r="AK308" s="1" t="str">
        <f t="shared" si="82"/>
        <v/>
      </c>
      <c r="AL308" s="1" t="str">
        <f t="shared" si="83"/>
        <v/>
      </c>
      <c r="AM308" s="1">
        <f t="shared" si="68"/>
        <v>260</v>
      </c>
      <c r="AN308" s="5">
        <f t="shared" si="69"/>
        <v>0</v>
      </c>
      <c r="AO308" s="1" t="str">
        <f t="shared" si="84"/>
        <v/>
      </c>
    </row>
    <row r="309" spans="1:41">
      <c r="A309" t="s">
        <v>1081</v>
      </c>
      <c r="B309" t="s">
        <v>667</v>
      </c>
      <c r="C309" t="s">
        <v>1082</v>
      </c>
      <c r="D309">
        <v>1998</v>
      </c>
      <c r="E309">
        <v>448</v>
      </c>
      <c r="F309">
        <v>1</v>
      </c>
      <c r="G309">
        <v>2</v>
      </c>
      <c r="H309">
        <v>1</v>
      </c>
      <c r="I309">
        <v>1</v>
      </c>
      <c r="J309">
        <v>1</v>
      </c>
      <c r="K309">
        <v>1</v>
      </c>
      <c r="L309" t="s">
        <v>1083</v>
      </c>
      <c r="M309" t="s">
        <v>1084</v>
      </c>
      <c r="N309" t="s">
        <v>942</v>
      </c>
      <c r="O309">
        <v>0</v>
      </c>
      <c r="P309" t="s">
        <v>566</v>
      </c>
      <c r="Q309" t="s">
        <v>374</v>
      </c>
      <c r="R309">
        <v>3136</v>
      </c>
      <c r="S309" t="s">
        <v>1084</v>
      </c>
      <c r="U309" t="s">
        <v>83</v>
      </c>
      <c r="V309" t="s">
        <v>567</v>
      </c>
      <c r="W309">
        <v>12276566</v>
      </c>
      <c r="X309" t="s">
        <v>575</v>
      </c>
      <c r="Y309">
        <f t="shared" si="70"/>
        <v>1.790208</v>
      </c>
      <c r="Z309">
        <f t="shared" si="71"/>
        <v>9.7840000000000007</v>
      </c>
      <c r="AA309">
        <f t="shared" si="72"/>
        <v>9.7840000000000007</v>
      </c>
      <c r="AB309" s="2">
        <f t="shared" si="73"/>
        <v>40</v>
      </c>
      <c r="AC309" s="2">
        <f t="shared" si="74"/>
        <v>29</v>
      </c>
      <c r="AD309" s="2">
        <f t="shared" si="75"/>
        <v>0</v>
      </c>
      <c r="AE309" s="2">
        <f t="shared" si="76"/>
        <v>0</v>
      </c>
      <c r="AF309" s="2">
        <f t="shared" si="77"/>
        <v>18</v>
      </c>
      <c r="AG309" s="2">
        <f t="shared" si="78"/>
        <v>0</v>
      </c>
      <c r="AH309" s="2">
        <f t="shared" si="79"/>
        <v>0</v>
      </c>
      <c r="AI309" s="1">
        <f t="shared" si="80"/>
        <v>352.22400000000005</v>
      </c>
      <c r="AJ309" s="1">
        <f t="shared" si="81"/>
        <v>587.04000000000008</v>
      </c>
      <c r="AK309" s="1" t="str">
        <f t="shared" si="82"/>
        <v/>
      </c>
      <c r="AL309" s="1" t="str">
        <f t="shared" si="83"/>
        <v/>
      </c>
      <c r="AM309" s="1">
        <f t="shared" si="68"/>
        <v>260</v>
      </c>
      <c r="AN309" s="5">
        <f t="shared" si="69"/>
        <v>0</v>
      </c>
      <c r="AO309" s="1" t="str">
        <f t="shared" si="84"/>
        <v/>
      </c>
    </row>
    <row r="310" spans="1:41">
      <c r="A310" t="s">
        <v>1085</v>
      </c>
      <c r="B310" t="s">
        <v>667</v>
      </c>
      <c r="C310" t="s">
        <v>1086</v>
      </c>
      <c r="D310">
        <v>685</v>
      </c>
      <c r="E310">
        <v>448</v>
      </c>
      <c r="F310">
        <v>1</v>
      </c>
      <c r="G310">
        <v>4</v>
      </c>
      <c r="H310">
        <v>1</v>
      </c>
      <c r="I310">
        <v>1</v>
      </c>
      <c r="L310" t="s">
        <v>1087</v>
      </c>
      <c r="M310" t="s">
        <v>1088</v>
      </c>
      <c r="N310" t="s">
        <v>942</v>
      </c>
      <c r="O310">
        <v>0</v>
      </c>
      <c r="P310" t="s">
        <v>566</v>
      </c>
      <c r="Q310" t="s">
        <v>374</v>
      </c>
      <c r="R310">
        <v>3136</v>
      </c>
      <c r="S310" t="s">
        <v>1088</v>
      </c>
      <c r="U310" t="s">
        <v>83</v>
      </c>
      <c r="V310" t="s">
        <v>567</v>
      </c>
      <c r="W310">
        <v>12276517</v>
      </c>
      <c r="X310" t="s">
        <v>1080</v>
      </c>
      <c r="Y310">
        <f t="shared" si="70"/>
        <v>1.2275199999999999</v>
      </c>
      <c r="Z310">
        <f t="shared" si="71"/>
        <v>9.0640000000000001</v>
      </c>
      <c r="AA310">
        <f t="shared" si="72"/>
        <v>5.48</v>
      </c>
      <c r="AB310" s="2">
        <f t="shared" si="73"/>
        <v>40</v>
      </c>
      <c r="AC310" s="2">
        <f t="shared" si="74"/>
        <v>29</v>
      </c>
      <c r="AD310" s="2">
        <f t="shared" si="75"/>
        <v>0</v>
      </c>
      <c r="AE310" s="2">
        <f t="shared" si="76"/>
        <v>0</v>
      </c>
      <c r="AF310" s="2">
        <f t="shared" si="77"/>
        <v>18</v>
      </c>
      <c r="AG310" s="2">
        <f t="shared" si="78"/>
        <v>0</v>
      </c>
      <c r="AH310" s="2">
        <f t="shared" si="79"/>
        <v>0</v>
      </c>
      <c r="AI310" s="1">
        <f t="shared" si="80"/>
        <v>326.30399999999997</v>
      </c>
      <c r="AJ310" s="1">
        <f t="shared" si="81"/>
        <v>328.8</v>
      </c>
      <c r="AK310" s="1" t="str">
        <f t="shared" si="82"/>
        <v/>
      </c>
      <c r="AL310" s="1" t="str">
        <f t="shared" si="83"/>
        <v/>
      </c>
      <c r="AM310" s="1">
        <f t="shared" si="68"/>
        <v>520</v>
      </c>
      <c r="AN310" s="5">
        <f t="shared" si="69"/>
        <v>0</v>
      </c>
      <c r="AO310" s="1" t="str">
        <f t="shared" si="84"/>
        <v/>
      </c>
    </row>
    <row r="311" spans="1:41">
      <c r="A311" t="s">
        <v>1089</v>
      </c>
      <c r="B311" t="s">
        <v>667</v>
      </c>
      <c r="C311" t="s">
        <v>1090</v>
      </c>
      <c r="D311">
        <v>685</v>
      </c>
      <c r="E311">
        <v>412</v>
      </c>
      <c r="F311">
        <v>1</v>
      </c>
      <c r="G311">
        <v>4</v>
      </c>
      <c r="H311">
        <v>1</v>
      </c>
      <c r="I311">
        <v>1</v>
      </c>
      <c r="L311" t="s">
        <v>1091</v>
      </c>
      <c r="M311" t="s">
        <v>1092</v>
      </c>
      <c r="N311" t="s">
        <v>942</v>
      </c>
      <c r="O311">
        <v>0</v>
      </c>
      <c r="P311" t="s">
        <v>566</v>
      </c>
      <c r="Q311" t="s">
        <v>374</v>
      </c>
      <c r="R311">
        <v>3136</v>
      </c>
      <c r="S311" t="s">
        <v>1092</v>
      </c>
      <c r="U311" t="s">
        <v>83</v>
      </c>
      <c r="V311" t="s">
        <v>567</v>
      </c>
      <c r="W311">
        <v>12276512</v>
      </c>
      <c r="X311" t="s">
        <v>1080</v>
      </c>
      <c r="Y311">
        <f t="shared" si="70"/>
        <v>1.1288800000000001</v>
      </c>
      <c r="Z311">
        <f t="shared" si="71"/>
        <v>8.7759999999999998</v>
      </c>
      <c r="AA311">
        <f t="shared" si="72"/>
        <v>5.48</v>
      </c>
      <c r="AB311" s="2">
        <f t="shared" si="73"/>
        <v>40</v>
      </c>
      <c r="AC311" s="2">
        <f t="shared" si="74"/>
        <v>29</v>
      </c>
      <c r="AD311" s="2">
        <f t="shared" si="75"/>
        <v>0</v>
      </c>
      <c r="AE311" s="2">
        <f t="shared" si="76"/>
        <v>0</v>
      </c>
      <c r="AF311" s="2">
        <f t="shared" si="77"/>
        <v>18</v>
      </c>
      <c r="AG311" s="2">
        <f t="shared" si="78"/>
        <v>0</v>
      </c>
      <c r="AH311" s="2">
        <f t="shared" si="79"/>
        <v>0</v>
      </c>
      <c r="AI311" s="1">
        <f t="shared" si="80"/>
        <v>315.93599999999998</v>
      </c>
      <c r="AJ311" s="1">
        <f t="shared" si="81"/>
        <v>328.8</v>
      </c>
      <c r="AK311" s="1" t="str">
        <f t="shared" si="82"/>
        <v/>
      </c>
      <c r="AL311" s="1" t="str">
        <f t="shared" si="83"/>
        <v/>
      </c>
      <c r="AM311" s="1">
        <f t="shared" si="68"/>
        <v>520</v>
      </c>
      <c r="AN311" s="5">
        <f t="shared" si="69"/>
        <v>0</v>
      </c>
      <c r="AO311" s="1" t="str">
        <f t="shared" si="84"/>
        <v/>
      </c>
    </row>
    <row r="312" spans="1:41">
      <c r="A312" t="s">
        <v>1093</v>
      </c>
      <c r="B312" t="s">
        <v>667</v>
      </c>
      <c r="C312" t="s">
        <v>1094</v>
      </c>
      <c r="D312">
        <v>638</v>
      </c>
      <c r="E312">
        <v>411</v>
      </c>
      <c r="F312">
        <v>1</v>
      </c>
      <c r="G312">
        <v>2</v>
      </c>
      <c r="H312">
        <v>1</v>
      </c>
      <c r="L312" t="s">
        <v>1095</v>
      </c>
      <c r="M312" t="s">
        <v>1096</v>
      </c>
      <c r="N312" t="s">
        <v>942</v>
      </c>
      <c r="O312">
        <v>0</v>
      </c>
      <c r="P312" t="s">
        <v>566</v>
      </c>
      <c r="Q312" t="s">
        <v>374</v>
      </c>
      <c r="R312">
        <v>3136</v>
      </c>
      <c r="S312" t="s">
        <v>1096</v>
      </c>
      <c r="U312" t="s">
        <v>83</v>
      </c>
      <c r="V312" t="s">
        <v>567</v>
      </c>
      <c r="W312">
        <v>12276553</v>
      </c>
      <c r="X312" t="s">
        <v>575</v>
      </c>
      <c r="Y312">
        <f t="shared" si="70"/>
        <v>0.52443600000000001</v>
      </c>
      <c r="Z312">
        <f t="shared" si="71"/>
        <v>4.1959999999999997</v>
      </c>
      <c r="AA312">
        <f t="shared" si="72"/>
        <v>1.276</v>
      </c>
      <c r="AB312" s="2">
        <f t="shared" si="73"/>
        <v>29</v>
      </c>
      <c r="AC312" s="2">
        <f t="shared" si="74"/>
        <v>18</v>
      </c>
      <c r="AD312" s="2">
        <f t="shared" si="75"/>
        <v>0</v>
      </c>
      <c r="AE312" s="2">
        <f t="shared" si="76"/>
        <v>0</v>
      </c>
      <c r="AF312" s="2">
        <f t="shared" si="77"/>
        <v>0</v>
      </c>
      <c r="AG312" s="2">
        <f t="shared" si="78"/>
        <v>0</v>
      </c>
      <c r="AH312" s="2">
        <f t="shared" si="79"/>
        <v>0</v>
      </c>
      <c r="AI312" s="1">
        <f t="shared" si="80"/>
        <v>151.05599999999998</v>
      </c>
      <c r="AJ312" s="1">
        <f t="shared" si="81"/>
        <v>76.56</v>
      </c>
      <c r="AK312" s="1" t="str">
        <f t="shared" si="82"/>
        <v/>
      </c>
      <c r="AL312" s="1" t="str">
        <f t="shared" si="83"/>
        <v/>
      </c>
      <c r="AM312" s="1" t="str">
        <f t="shared" si="68"/>
        <v/>
      </c>
      <c r="AN312" s="5">
        <f t="shared" si="69"/>
        <v>0</v>
      </c>
      <c r="AO312" s="1" t="str">
        <f t="shared" si="84"/>
        <v/>
      </c>
    </row>
    <row r="313" spans="1:41">
      <c r="A313" t="s">
        <v>1097</v>
      </c>
      <c r="B313" t="s">
        <v>667</v>
      </c>
      <c r="C313" t="s">
        <v>1098</v>
      </c>
      <c r="D313">
        <v>647</v>
      </c>
      <c r="E313">
        <v>411</v>
      </c>
      <c r="F313">
        <v>1</v>
      </c>
      <c r="G313">
        <v>4</v>
      </c>
      <c r="H313">
        <v>1</v>
      </c>
      <c r="L313" t="s">
        <v>1099</v>
      </c>
      <c r="M313" t="s">
        <v>1100</v>
      </c>
      <c r="N313" t="s">
        <v>942</v>
      </c>
      <c r="O313">
        <v>0</v>
      </c>
      <c r="P313" t="s">
        <v>566</v>
      </c>
      <c r="Q313" t="s">
        <v>374</v>
      </c>
      <c r="R313">
        <v>3136</v>
      </c>
      <c r="S313" t="s">
        <v>1100</v>
      </c>
      <c r="U313" t="s">
        <v>83</v>
      </c>
      <c r="V313" t="s">
        <v>567</v>
      </c>
      <c r="W313">
        <v>12276549</v>
      </c>
      <c r="X313" t="s">
        <v>575</v>
      </c>
      <c r="Y313">
        <f t="shared" si="70"/>
        <v>1.0636680000000001</v>
      </c>
      <c r="Z313">
        <f t="shared" si="71"/>
        <v>8.4640000000000004</v>
      </c>
      <c r="AA313">
        <f t="shared" si="72"/>
        <v>2.5880000000000001</v>
      </c>
      <c r="AB313" s="2">
        <f t="shared" si="73"/>
        <v>29</v>
      </c>
      <c r="AC313" s="2">
        <f t="shared" si="74"/>
        <v>18</v>
      </c>
      <c r="AD313" s="2">
        <f t="shared" si="75"/>
        <v>0</v>
      </c>
      <c r="AE313" s="2">
        <f t="shared" si="76"/>
        <v>0</v>
      </c>
      <c r="AF313" s="2">
        <f t="shared" si="77"/>
        <v>0</v>
      </c>
      <c r="AG313" s="2">
        <f t="shared" si="78"/>
        <v>0</v>
      </c>
      <c r="AH313" s="2">
        <f t="shared" si="79"/>
        <v>0</v>
      </c>
      <c r="AI313" s="1">
        <f t="shared" si="80"/>
        <v>304.70400000000001</v>
      </c>
      <c r="AJ313" s="1">
        <f t="shared" si="81"/>
        <v>155.28</v>
      </c>
      <c r="AK313" s="1" t="str">
        <f t="shared" si="82"/>
        <v/>
      </c>
      <c r="AL313" s="1" t="str">
        <f t="shared" si="83"/>
        <v/>
      </c>
      <c r="AM313" s="1" t="str">
        <f t="shared" si="68"/>
        <v/>
      </c>
      <c r="AN313" s="5">
        <f t="shared" si="69"/>
        <v>0</v>
      </c>
      <c r="AO313" s="1" t="str">
        <f t="shared" si="84"/>
        <v/>
      </c>
    </row>
    <row r="314" spans="1:41">
      <c r="A314" t="s">
        <v>1101</v>
      </c>
      <c r="B314" t="s">
        <v>1102</v>
      </c>
      <c r="C314" t="s">
        <v>1103</v>
      </c>
      <c r="D314">
        <v>2100</v>
      </c>
      <c r="E314">
        <v>900</v>
      </c>
      <c r="F314">
        <v>0</v>
      </c>
      <c r="G314">
        <v>1</v>
      </c>
      <c r="L314" t="s">
        <v>1104</v>
      </c>
      <c r="M314" t="s">
        <v>79</v>
      </c>
      <c r="N314" t="s">
        <v>1105</v>
      </c>
      <c r="O314">
        <v>0</v>
      </c>
      <c r="P314" t="s">
        <v>360</v>
      </c>
      <c r="Q314" t="s">
        <v>134</v>
      </c>
      <c r="R314">
        <v>10695</v>
      </c>
      <c r="S314" t="s">
        <v>79</v>
      </c>
      <c r="U314" t="s">
        <v>361</v>
      </c>
      <c r="V314" t="s">
        <v>362</v>
      </c>
      <c r="W314">
        <v>12278560</v>
      </c>
      <c r="X314" t="s">
        <v>1106</v>
      </c>
      <c r="Y314">
        <f t="shared" si="70"/>
        <v>1.89</v>
      </c>
      <c r="Z314">
        <f t="shared" si="71"/>
        <v>6</v>
      </c>
      <c r="AA314">
        <f t="shared" si="72"/>
        <v>0</v>
      </c>
      <c r="AB314" s="2">
        <f t="shared" si="73"/>
        <v>16</v>
      </c>
      <c r="AC314" s="2">
        <f t="shared" si="74"/>
        <v>0</v>
      </c>
      <c r="AD314" s="2">
        <f t="shared" si="75"/>
        <v>0</v>
      </c>
      <c r="AE314" s="2">
        <f t="shared" si="76"/>
        <v>13</v>
      </c>
      <c r="AF314" s="2">
        <f t="shared" si="77"/>
        <v>0</v>
      </c>
      <c r="AG314" s="2">
        <f t="shared" si="78"/>
        <v>0</v>
      </c>
      <c r="AH314" s="2">
        <f t="shared" si="79"/>
        <v>10</v>
      </c>
      <c r="AI314" s="1">
        <f t="shared" si="80"/>
        <v>216</v>
      </c>
      <c r="AJ314" s="1">
        <f t="shared" si="81"/>
        <v>0</v>
      </c>
      <c r="AK314" s="1" t="str">
        <f t="shared" si="82"/>
        <v/>
      </c>
      <c r="AL314" s="1">
        <f t="shared" si="83"/>
        <v>240</v>
      </c>
      <c r="AM314" s="1" t="str">
        <f t="shared" si="68"/>
        <v/>
      </c>
      <c r="AN314" s="5">
        <f t="shared" si="69"/>
        <v>0</v>
      </c>
      <c r="AO314" s="1">
        <f t="shared" si="84"/>
        <v>4800</v>
      </c>
    </row>
    <row r="315" spans="1:41">
      <c r="A315" t="s">
        <v>1107</v>
      </c>
      <c r="B315" t="s">
        <v>1108</v>
      </c>
      <c r="C315" t="s">
        <v>1109</v>
      </c>
      <c r="D315">
        <v>553</v>
      </c>
      <c r="E315">
        <v>451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1</v>
      </c>
      <c r="L315" t="s">
        <v>1110</v>
      </c>
      <c r="M315" t="s">
        <v>1111</v>
      </c>
      <c r="N315" t="s">
        <v>1112</v>
      </c>
      <c r="O315">
        <v>0</v>
      </c>
      <c r="P315" t="s">
        <v>734</v>
      </c>
      <c r="Q315" t="s">
        <v>134</v>
      </c>
      <c r="R315">
        <v>10695</v>
      </c>
      <c r="S315" t="s">
        <v>1111</v>
      </c>
      <c r="U315" t="s">
        <v>135</v>
      </c>
      <c r="V315" t="s">
        <v>735</v>
      </c>
      <c r="W315">
        <v>12278517</v>
      </c>
      <c r="X315" t="s">
        <v>736</v>
      </c>
      <c r="Y315">
        <f t="shared" si="70"/>
        <v>0.24940300000000001</v>
      </c>
      <c r="Z315">
        <f t="shared" si="71"/>
        <v>2.008</v>
      </c>
      <c r="AA315">
        <f t="shared" si="72"/>
        <v>2.008</v>
      </c>
      <c r="AB315" s="2">
        <f t="shared" si="73"/>
        <v>19</v>
      </c>
      <c r="AC315" s="2">
        <f t="shared" si="74"/>
        <v>16</v>
      </c>
      <c r="AD315" s="2">
        <f t="shared" si="75"/>
        <v>0</v>
      </c>
      <c r="AE315" s="2">
        <f t="shared" si="76"/>
        <v>0</v>
      </c>
      <c r="AF315" s="2">
        <f t="shared" si="77"/>
        <v>13</v>
      </c>
      <c r="AG315" s="2">
        <f t="shared" si="78"/>
        <v>0</v>
      </c>
      <c r="AH315" s="2">
        <f t="shared" si="79"/>
        <v>0</v>
      </c>
      <c r="AI315" s="1">
        <f t="shared" si="80"/>
        <v>72.287999999999997</v>
      </c>
      <c r="AJ315" s="1">
        <f t="shared" si="81"/>
        <v>120.48</v>
      </c>
      <c r="AK315" s="1" t="str">
        <f t="shared" si="82"/>
        <v/>
      </c>
      <c r="AL315" s="1" t="str">
        <f t="shared" si="83"/>
        <v/>
      </c>
      <c r="AM315" s="1">
        <f t="shared" si="68"/>
        <v>130</v>
      </c>
      <c r="AN315" s="5">
        <f t="shared" si="69"/>
        <v>0</v>
      </c>
      <c r="AO315" s="1" t="str">
        <f t="shared" si="84"/>
        <v/>
      </c>
    </row>
    <row r="316" spans="1:41">
      <c r="A316" t="s">
        <v>1113</v>
      </c>
      <c r="B316" t="s">
        <v>1108</v>
      </c>
      <c r="C316" t="s">
        <v>1114</v>
      </c>
      <c r="D316">
        <v>553</v>
      </c>
      <c r="E316">
        <v>451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1</v>
      </c>
      <c r="L316" t="s">
        <v>1115</v>
      </c>
      <c r="M316" t="s">
        <v>1116</v>
      </c>
      <c r="N316" t="s">
        <v>1112</v>
      </c>
      <c r="O316">
        <v>0</v>
      </c>
      <c r="P316" t="s">
        <v>734</v>
      </c>
      <c r="Q316" t="s">
        <v>134</v>
      </c>
      <c r="R316">
        <v>10695</v>
      </c>
      <c r="S316" t="s">
        <v>1116</v>
      </c>
      <c r="U316" t="s">
        <v>135</v>
      </c>
      <c r="V316" t="s">
        <v>735</v>
      </c>
      <c r="W316">
        <v>12278518</v>
      </c>
      <c r="X316" t="s">
        <v>736</v>
      </c>
      <c r="Y316">
        <f t="shared" si="70"/>
        <v>0.24940300000000001</v>
      </c>
      <c r="Z316">
        <f t="shared" si="71"/>
        <v>2.008</v>
      </c>
      <c r="AA316">
        <f t="shared" si="72"/>
        <v>2.008</v>
      </c>
      <c r="AB316" s="2">
        <f t="shared" si="73"/>
        <v>19</v>
      </c>
      <c r="AC316" s="2">
        <f t="shared" si="74"/>
        <v>16</v>
      </c>
      <c r="AD316" s="2">
        <f t="shared" si="75"/>
        <v>0</v>
      </c>
      <c r="AE316" s="2">
        <f t="shared" si="76"/>
        <v>0</v>
      </c>
      <c r="AF316" s="2">
        <f t="shared" si="77"/>
        <v>13</v>
      </c>
      <c r="AG316" s="2">
        <f t="shared" si="78"/>
        <v>0</v>
      </c>
      <c r="AH316" s="2">
        <f t="shared" si="79"/>
        <v>0</v>
      </c>
      <c r="AI316" s="1">
        <f t="shared" si="80"/>
        <v>72.287999999999997</v>
      </c>
      <c r="AJ316" s="1">
        <f t="shared" si="81"/>
        <v>120.48</v>
      </c>
      <c r="AK316" s="1" t="str">
        <f t="shared" si="82"/>
        <v/>
      </c>
      <c r="AL316" s="1" t="str">
        <f t="shared" si="83"/>
        <v/>
      </c>
      <c r="AM316" s="1">
        <f t="shared" si="68"/>
        <v>130</v>
      </c>
      <c r="AN316" s="5">
        <f t="shared" si="69"/>
        <v>0</v>
      </c>
      <c r="AO316" s="1" t="str">
        <f t="shared" si="84"/>
        <v/>
      </c>
    </row>
    <row r="317" spans="1:41">
      <c r="A317" t="s">
        <v>1117</v>
      </c>
      <c r="B317" t="s">
        <v>1108</v>
      </c>
      <c r="C317" t="s">
        <v>1118</v>
      </c>
      <c r="D317">
        <v>457</v>
      </c>
      <c r="E317">
        <v>183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1</v>
      </c>
      <c r="L317" t="s">
        <v>1119</v>
      </c>
      <c r="M317" t="s">
        <v>1120</v>
      </c>
      <c r="N317" t="s">
        <v>1112</v>
      </c>
      <c r="O317">
        <v>0</v>
      </c>
      <c r="P317" t="s">
        <v>734</v>
      </c>
      <c r="Q317" t="s">
        <v>134</v>
      </c>
      <c r="R317">
        <v>10695</v>
      </c>
      <c r="S317" t="s">
        <v>1120</v>
      </c>
      <c r="U317" t="s">
        <v>135</v>
      </c>
      <c r="V317" t="s">
        <v>735</v>
      </c>
      <c r="W317">
        <v>12278483</v>
      </c>
      <c r="X317" t="s">
        <v>736</v>
      </c>
      <c r="Y317">
        <f t="shared" si="70"/>
        <v>8.3630999999999997E-2</v>
      </c>
      <c r="Z317">
        <f t="shared" si="71"/>
        <v>1.28</v>
      </c>
      <c r="AA317">
        <f t="shared" si="72"/>
        <v>1.28</v>
      </c>
      <c r="AB317" s="2">
        <f t="shared" si="73"/>
        <v>19</v>
      </c>
      <c r="AC317" s="2">
        <f t="shared" si="74"/>
        <v>13</v>
      </c>
      <c r="AD317" s="2">
        <f t="shared" si="75"/>
        <v>0</v>
      </c>
      <c r="AE317" s="2">
        <f t="shared" si="76"/>
        <v>0</v>
      </c>
      <c r="AF317" s="2">
        <f t="shared" si="77"/>
        <v>10</v>
      </c>
      <c r="AG317" s="2">
        <f t="shared" si="78"/>
        <v>0</v>
      </c>
      <c r="AH317" s="2">
        <f t="shared" si="79"/>
        <v>0</v>
      </c>
      <c r="AI317" s="1">
        <f t="shared" si="80"/>
        <v>46.08</v>
      </c>
      <c r="AJ317" s="1">
        <f t="shared" si="81"/>
        <v>76.8</v>
      </c>
      <c r="AK317" s="1" t="str">
        <f t="shared" si="82"/>
        <v/>
      </c>
      <c r="AL317" s="1" t="str">
        <f t="shared" si="83"/>
        <v/>
      </c>
      <c r="AM317" s="1">
        <f t="shared" si="68"/>
        <v>130</v>
      </c>
      <c r="AN317" s="5">
        <f t="shared" si="69"/>
        <v>0</v>
      </c>
      <c r="AO317" s="1" t="str">
        <f t="shared" si="84"/>
        <v/>
      </c>
    </row>
    <row r="318" spans="1:41">
      <c r="A318" t="s">
        <v>1121</v>
      </c>
      <c r="B318" t="s">
        <v>1108</v>
      </c>
      <c r="C318" t="s">
        <v>1122</v>
      </c>
      <c r="D318">
        <v>457</v>
      </c>
      <c r="E318">
        <v>183</v>
      </c>
      <c r="F318">
        <v>0</v>
      </c>
      <c r="G318">
        <v>2</v>
      </c>
      <c r="H318">
        <v>1</v>
      </c>
      <c r="I318">
        <v>1</v>
      </c>
      <c r="J318">
        <v>1</v>
      </c>
      <c r="K318">
        <v>1</v>
      </c>
      <c r="L318" t="s">
        <v>1123</v>
      </c>
      <c r="M318" t="s">
        <v>1124</v>
      </c>
      <c r="N318" t="s">
        <v>1112</v>
      </c>
      <c r="O318">
        <v>0</v>
      </c>
      <c r="P318" t="s">
        <v>734</v>
      </c>
      <c r="Q318" t="s">
        <v>134</v>
      </c>
      <c r="R318">
        <v>10695</v>
      </c>
      <c r="S318" t="s">
        <v>1124</v>
      </c>
      <c r="U318" t="s">
        <v>135</v>
      </c>
      <c r="V318" t="s">
        <v>735</v>
      </c>
      <c r="W318">
        <v>12278506</v>
      </c>
      <c r="X318" t="s">
        <v>736</v>
      </c>
      <c r="Y318">
        <f t="shared" si="70"/>
        <v>0.16726199999999999</v>
      </c>
      <c r="Z318">
        <f t="shared" si="71"/>
        <v>2.56</v>
      </c>
      <c r="AA318">
        <f t="shared" si="72"/>
        <v>2.56</v>
      </c>
      <c r="AB318" s="2">
        <f t="shared" si="73"/>
        <v>19</v>
      </c>
      <c r="AC318" s="2">
        <f t="shared" si="74"/>
        <v>13</v>
      </c>
      <c r="AD318" s="2">
        <f t="shared" si="75"/>
        <v>0</v>
      </c>
      <c r="AE318" s="2">
        <f t="shared" si="76"/>
        <v>0</v>
      </c>
      <c r="AF318" s="2">
        <f t="shared" si="77"/>
        <v>10</v>
      </c>
      <c r="AG318" s="2">
        <f t="shared" si="78"/>
        <v>0</v>
      </c>
      <c r="AH318" s="2">
        <f t="shared" si="79"/>
        <v>0</v>
      </c>
      <c r="AI318" s="1">
        <f t="shared" si="80"/>
        <v>92.16</v>
      </c>
      <c r="AJ318" s="1">
        <f t="shared" si="81"/>
        <v>153.6</v>
      </c>
      <c r="AK318" s="1" t="str">
        <f t="shared" si="82"/>
        <v/>
      </c>
      <c r="AL318" s="1" t="str">
        <f t="shared" si="83"/>
        <v/>
      </c>
      <c r="AM318" s="1">
        <f t="shared" si="68"/>
        <v>260</v>
      </c>
      <c r="AN318" s="5">
        <f t="shared" si="69"/>
        <v>0</v>
      </c>
      <c r="AO318" s="1" t="str">
        <f t="shared" si="84"/>
        <v/>
      </c>
    </row>
    <row r="319" spans="1:41">
      <c r="A319" t="s">
        <v>1125</v>
      </c>
      <c r="B319" t="s">
        <v>1108</v>
      </c>
      <c r="C319" t="s">
        <v>1126</v>
      </c>
      <c r="D319">
        <v>1033</v>
      </c>
      <c r="E319">
        <v>448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1</v>
      </c>
      <c r="L319" t="s">
        <v>1127</v>
      </c>
      <c r="M319" t="s">
        <v>1128</v>
      </c>
      <c r="N319" t="s">
        <v>1112</v>
      </c>
      <c r="O319">
        <v>0</v>
      </c>
      <c r="P319" t="s">
        <v>734</v>
      </c>
      <c r="Q319" t="s">
        <v>134</v>
      </c>
      <c r="R319">
        <v>10695</v>
      </c>
      <c r="S319" t="s">
        <v>1128</v>
      </c>
      <c r="U319" t="s">
        <v>135</v>
      </c>
      <c r="V319" t="s">
        <v>735</v>
      </c>
      <c r="W319">
        <v>12278516</v>
      </c>
      <c r="X319" t="s">
        <v>1129</v>
      </c>
      <c r="Y319">
        <f t="shared" si="70"/>
        <v>0.46278399999999997</v>
      </c>
      <c r="Z319">
        <f t="shared" si="71"/>
        <v>2.9620000000000002</v>
      </c>
      <c r="AA319">
        <f t="shared" si="72"/>
        <v>2.9620000000000002</v>
      </c>
      <c r="AB319" s="2">
        <f t="shared" si="73"/>
        <v>16</v>
      </c>
      <c r="AC319" s="2">
        <f t="shared" si="74"/>
        <v>13</v>
      </c>
      <c r="AD319" s="2">
        <f t="shared" si="75"/>
        <v>0</v>
      </c>
      <c r="AE319" s="2">
        <f t="shared" si="76"/>
        <v>0</v>
      </c>
      <c r="AF319" s="2">
        <f t="shared" si="77"/>
        <v>10</v>
      </c>
      <c r="AG319" s="2">
        <f t="shared" si="78"/>
        <v>0</v>
      </c>
      <c r="AH319" s="2">
        <f t="shared" si="79"/>
        <v>0</v>
      </c>
      <c r="AI319" s="1">
        <f t="shared" si="80"/>
        <v>106.63200000000001</v>
      </c>
      <c r="AJ319" s="1">
        <f t="shared" si="81"/>
        <v>177.72</v>
      </c>
      <c r="AK319" s="1" t="str">
        <f t="shared" si="82"/>
        <v/>
      </c>
      <c r="AL319" s="1" t="str">
        <f t="shared" si="83"/>
        <v/>
      </c>
      <c r="AM319" s="1">
        <f t="shared" si="68"/>
        <v>130</v>
      </c>
      <c r="AN319" s="5">
        <f t="shared" si="69"/>
        <v>0</v>
      </c>
      <c r="AO319" s="1" t="str">
        <f t="shared" si="84"/>
        <v/>
      </c>
    </row>
    <row r="320" spans="1:41">
      <c r="A320" t="s">
        <v>1130</v>
      </c>
      <c r="B320" t="s">
        <v>1108</v>
      </c>
      <c r="C320" t="s">
        <v>1131</v>
      </c>
      <c r="D320">
        <v>1198</v>
      </c>
      <c r="E320">
        <v>600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 t="s">
        <v>1132</v>
      </c>
      <c r="M320" t="s">
        <v>79</v>
      </c>
      <c r="N320" t="s">
        <v>1112</v>
      </c>
      <c r="O320">
        <v>0</v>
      </c>
      <c r="P320" t="s">
        <v>154</v>
      </c>
      <c r="Q320" t="s">
        <v>134</v>
      </c>
      <c r="R320">
        <v>10695</v>
      </c>
      <c r="S320" t="s">
        <v>79</v>
      </c>
      <c r="U320" t="s">
        <v>135</v>
      </c>
      <c r="V320" t="s">
        <v>155</v>
      </c>
      <c r="W320">
        <v>12279318</v>
      </c>
      <c r="X320" t="s">
        <v>156</v>
      </c>
      <c r="Y320">
        <f t="shared" si="70"/>
        <v>0.71879999999999999</v>
      </c>
      <c r="Z320">
        <f t="shared" si="71"/>
        <v>3.5960000000000001</v>
      </c>
      <c r="AA320">
        <f t="shared" si="72"/>
        <v>3.5960000000000001</v>
      </c>
      <c r="AB320" s="2">
        <f t="shared" si="73"/>
        <v>16</v>
      </c>
      <c r="AC320" s="2">
        <f t="shared" si="74"/>
        <v>13</v>
      </c>
      <c r="AD320" s="2">
        <f t="shared" si="75"/>
        <v>0</v>
      </c>
      <c r="AE320" s="2">
        <f t="shared" si="76"/>
        <v>0</v>
      </c>
      <c r="AF320" s="2">
        <f t="shared" si="77"/>
        <v>10</v>
      </c>
      <c r="AG320" s="2">
        <f t="shared" si="78"/>
        <v>0</v>
      </c>
      <c r="AH320" s="2">
        <f t="shared" si="79"/>
        <v>0</v>
      </c>
      <c r="AI320" s="1">
        <f t="shared" si="80"/>
        <v>129.45600000000002</v>
      </c>
      <c r="AJ320" s="1">
        <f t="shared" si="81"/>
        <v>215.76</v>
      </c>
      <c r="AK320" s="1" t="str">
        <f t="shared" si="82"/>
        <v/>
      </c>
      <c r="AL320" s="1" t="str">
        <f t="shared" si="83"/>
        <v/>
      </c>
      <c r="AM320" s="1">
        <f t="shared" si="68"/>
        <v>130</v>
      </c>
      <c r="AN320" s="5">
        <f t="shared" si="69"/>
        <v>0</v>
      </c>
      <c r="AO320" s="1" t="str">
        <f t="shared" si="84"/>
        <v/>
      </c>
    </row>
    <row r="321" spans="1:41">
      <c r="A321" t="s">
        <v>1133</v>
      </c>
      <c r="B321" t="s">
        <v>1108</v>
      </c>
      <c r="C321" t="s">
        <v>1134</v>
      </c>
      <c r="D321">
        <v>1168</v>
      </c>
      <c r="E321">
        <v>448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 t="s">
        <v>1135</v>
      </c>
      <c r="M321" t="s">
        <v>1136</v>
      </c>
      <c r="N321" t="s">
        <v>1112</v>
      </c>
      <c r="O321">
        <v>0</v>
      </c>
      <c r="P321" t="s">
        <v>1137</v>
      </c>
      <c r="Q321" t="s">
        <v>134</v>
      </c>
      <c r="R321">
        <v>10695</v>
      </c>
      <c r="S321" t="s">
        <v>1136</v>
      </c>
      <c r="U321" t="s">
        <v>135</v>
      </c>
      <c r="V321" t="s">
        <v>155</v>
      </c>
      <c r="W321">
        <v>12278419</v>
      </c>
      <c r="X321" t="s">
        <v>1138</v>
      </c>
      <c r="Y321">
        <f t="shared" si="70"/>
        <v>0.52326399999999995</v>
      </c>
      <c r="Z321">
        <f t="shared" si="71"/>
        <v>3.2320000000000002</v>
      </c>
      <c r="AA321">
        <f t="shared" si="72"/>
        <v>3.2320000000000002</v>
      </c>
      <c r="AB321" s="2">
        <f t="shared" si="73"/>
        <v>16</v>
      </c>
      <c r="AC321" s="2">
        <f t="shared" si="74"/>
        <v>13</v>
      </c>
      <c r="AD321" s="2">
        <f t="shared" si="75"/>
        <v>0</v>
      </c>
      <c r="AE321" s="2">
        <f t="shared" si="76"/>
        <v>0</v>
      </c>
      <c r="AF321" s="2">
        <f t="shared" si="77"/>
        <v>10</v>
      </c>
      <c r="AG321" s="2">
        <f t="shared" si="78"/>
        <v>0</v>
      </c>
      <c r="AH321" s="2">
        <f t="shared" si="79"/>
        <v>0</v>
      </c>
      <c r="AI321" s="1">
        <f t="shared" si="80"/>
        <v>116.352</v>
      </c>
      <c r="AJ321" s="1">
        <f t="shared" si="81"/>
        <v>193.92000000000002</v>
      </c>
      <c r="AK321" s="1" t="str">
        <f t="shared" si="82"/>
        <v/>
      </c>
      <c r="AL321" s="1" t="str">
        <f t="shared" si="83"/>
        <v/>
      </c>
      <c r="AM321" s="1">
        <f t="shared" si="68"/>
        <v>130</v>
      </c>
      <c r="AN321" s="5">
        <f t="shared" si="69"/>
        <v>0</v>
      </c>
      <c r="AO321" s="1" t="str">
        <f t="shared" si="84"/>
        <v/>
      </c>
    </row>
    <row r="322" spans="1:41">
      <c r="A322" t="s">
        <v>1139</v>
      </c>
      <c r="B322" t="s">
        <v>1108</v>
      </c>
      <c r="C322" t="s">
        <v>1140</v>
      </c>
      <c r="D322">
        <v>942</v>
      </c>
      <c r="E322">
        <v>449</v>
      </c>
      <c r="F322">
        <v>0</v>
      </c>
      <c r="G322">
        <v>1</v>
      </c>
      <c r="H322">
        <v>1</v>
      </c>
      <c r="L322" t="s">
        <v>1141</v>
      </c>
      <c r="M322" t="s">
        <v>1142</v>
      </c>
      <c r="N322" t="s">
        <v>1112</v>
      </c>
      <c r="O322">
        <v>0</v>
      </c>
      <c r="P322" t="s">
        <v>806</v>
      </c>
      <c r="Q322" t="s">
        <v>134</v>
      </c>
      <c r="R322">
        <v>10695</v>
      </c>
      <c r="S322" t="s">
        <v>1142</v>
      </c>
      <c r="U322" t="s">
        <v>105</v>
      </c>
      <c r="V322" t="s">
        <v>807</v>
      </c>
      <c r="W322">
        <v>12278824</v>
      </c>
      <c r="X322" t="s">
        <v>808</v>
      </c>
      <c r="Y322">
        <f t="shared" si="70"/>
        <v>0.422958</v>
      </c>
      <c r="Z322">
        <f t="shared" si="71"/>
        <v>2.782</v>
      </c>
      <c r="AA322">
        <f t="shared" si="72"/>
        <v>0.94199999999999995</v>
      </c>
      <c r="AB322" s="2">
        <f t="shared" si="73"/>
        <v>15</v>
      </c>
      <c r="AC322" s="2">
        <f t="shared" si="74"/>
        <v>12</v>
      </c>
      <c r="AD322" s="2">
        <f t="shared" si="75"/>
        <v>0</v>
      </c>
      <c r="AE322" s="2">
        <f t="shared" si="76"/>
        <v>0</v>
      </c>
      <c r="AF322" s="2">
        <f t="shared" si="77"/>
        <v>9</v>
      </c>
      <c r="AG322" s="2">
        <f t="shared" si="78"/>
        <v>0</v>
      </c>
      <c r="AH322" s="2">
        <f t="shared" si="79"/>
        <v>0</v>
      </c>
      <c r="AI322" s="1">
        <f t="shared" si="80"/>
        <v>100.152</v>
      </c>
      <c r="AJ322" s="1">
        <f t="shared" si="81"/>
        <v>56.519999999999996</v>
      </c>
      <c r="AK322" s="1" t="str">
        <f t="shared" si="82"/>
        <v/>
      </c>
      <c r="AL322" s="1" t="str">
        <f t="shared" si="83"/>
        <v/>
      </c>
      <c r="AM322" s="1">
        <f t="shared" si="68"/>
        <v>130</v>
      </c>
      <c r="AN322" s="5">
        <f t="shared" si="69"/>
        <v>0</v>
      </c>
      <c r="AO322" s="1" t="str">
        <f t="shared" si="84"/>
        <v/>
      </c>
    </row>
    <row r="323" spans="1:41">
      <c r="A323" t="s">
        <v>1143</v>
      </c>
      <c r="B323" t="s">
        <v>1108</v>
      </c>
      <c r="C323" t="s">
        <v>1144</v>
      </c>
      <c r="D323">
        <v>273</v>
      </c>
      <c r="E323">
        <v>158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 t="s">
        <v>1145</v>
      </c>
      <c r="M323" t="s">
        <v>1146</v>
      </c>
      <c r="N323" t="s">
        <v>1112</v>
      </c>
      <c r="O323">
        <v>0</v>
      </c>
      <c r="P323" t="s">
        <v>806</v>
      </c>
      <c r="Q323" t="s">
        <v>134</v>
      </c>
      <c r="R323">
        <v>10695</v>
      </c>
      <c r="S323" t="s">
        <v>1146</v>
      </c>
      <c r="U323" t="s">
        <v>105</v>
      </c>
      <c r="V323" t="s">
        <v>807</v>
      </c>
      <c r="W323">
        <v>12278801</v>
      </c>
      <c r="X323" t="s">
        <v>813</v>
      </c>
      <c r="Y323">
        <f t="shared" si="70"/>
        <v>4.3133999999999999E-2</v>
      </c>
      <c r="Z323">
        <f t="shared" si="71"/>
        <v>0.86199999999999999</v>
      </c>
      <c r="AA323">
        <f t="shared" si="72"/>
        <v>0.86199999999999999</v>
      </c>
      <c r="AB323" s="2">
        <f t="shared" si="73"/>
        <v>21</v>
      </c>
      <c r="AC323" s="2">
        <f t="shared" si="74"/>
        <v>15</v>
      </c>
      <c r="AD323" s="2">
        <f t="shared" si="75"/>
        <v>0</v>
      </c>
      <c r="AE323" s="2">
        <f t="shared" si="76"/>
        <v>0</v>
      </c>
      <c r="AF323" s="2">
        <f t="shared" si="77"/>
        <v>12</v>
      </c>
      <c r="AG323" s="2">
        <f t="shared" si="78"/>
        <v>0</v>
      </c>
      <c r="AH323" s="2">
        <f t="shared" si="79"/>
        <v>0</v>
      </c>
      <c r="AI323" s="1">
        <f t="shared" si="80"/>
        <v>31.032</v>
      </c>
      <c r="AJ323" s="1">
        <f t="shared" si="81"/>
        <v>51.72</v>
      </c>
      <c r="AK323" s="1" t="str">
        <f t="shared" si="82"/>
        <v/>
      </c>
      <c r="AL323" s="1" t="str">
        <f t="shared" si="83"/>
        <v/>
      </c>
      <c r="AM323" s="1">
        <f t="shared" ref="AM323:AM386" si="85">IF(AF323&gt;0,G323*(130),"")</f>
        <v>130</v>
      </c>
      <c r="AN323" s="5">
        <f t="shared" ref="AN323:AN386" si="86">IF(AG323&gt;0,G323*252)+IF(AG323&gt;0,G323*Y323*662)</f>
        <v>0</v>
      </c>
      <c r="AO323" s="1" t="str">
        <f t="shared" si="84"/>
        <v/>
      </c>
    </row>
    <row r="324" spans="1:41">
      <c r="A324" t="s">
        <v>1147</v>
      </c>
      <c r="B324" t="s">
        <v>1108</v>
      </c>
      <c r="C324" t="s">
        <v>1148</v>
      </c>
      <c r="D324">
        <v>692</v>
      </c>
      <c r="E324">
        <v>275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1</v>
      </c>
      <c r="L324" t="s">
        <v>1149</v>
      </c>
      <c r="M324" t="s">
        <v>1150</v>
      </c>
      <c r="N324" t="s">
        <v>1112</v>
      </c>
      <c r="O324">
        <v>0</v>
      </c>
      <c r="P324" t="s">
        <v>806</v>
      </c>
      <c r="Q324" t="s">
        <v>134</v>
      </c>
      <c r="R324">
        <v>10695</v>
      </c>
      <c r="S324" t="s">
        <v>1150</v>
      </c>
      <c r="U324" t="s">
        <v>105</v>
      </c>
      <c r="V324" t="s">
        <v>807</v>
      </c>
      <c r="W324">
        <v>12278760</v>
      </c>
      <c r="X324" t="s">
        <v>826</v>
      </c>
      <c r="Y324">
        <f t="shared" ref="Y324:Y387" si="87">(D324*E324)*G324/1000000</f>
        <v>0.1903</v>
      </c>
      <c r="Z324">
        <f t="shared" ref="Z324:Z387" si="88">(((D324+E324)*2)/1000)*G324</f>
        <v>1.9339999999999999</v>
      </c>
      <c r="AA324">
        <f t="shared" ref="AA324:AA387" si="89">(((D324*H324)+(D324*I324)+(E324*J324)+(E324*K324))/1000)*G324</f>
        <v>1.9339999999999999</v>
      </c>
      <c r="AB324" s="2">
        <f t="shared" ref="AB324:AB387" si="90">SEARCH($AB$1,C324)</f>
        <v>18</v>
      </c>
      <c r="AC324" s="2">
        <f t="shared" ref="AC324:AC387" si="91">IFERROR(SEARCH($AC$1,C324),0)</f>
        <v>15</v>
      </c>
      <c r="AD324" s="2">
        <f t="shared" ref="AD324:AD387" si="92">IFERROR(SEARCH($AD$1,C324),0)</f>
        <v>0</v>
      </c>
      <c r="AE324" s="2">
        <f t="shared" ref="AE324:AE387" si="93">IFERROR(SEARCH($AE$1,C324),0)</f>
        <v>0</v>
      </c>
      <c r="AF324" s="2">
        <f t="shared" ref="AF324:AF387" si="94">IFERROR(SEARCH($AF$1,C324),0)</f>
        <v>12</v>
      </c>
      <c r="AG324" s="2">
        <f t="shared" ref="AG324:AG387" si="95">IFERROR(SEARCH($AG$1,C324),0)</f>
        <v>0</v>
      </c>
      <c r="AH324" s="2">
        <f t="shared" ref="AH324:AH387" si="96">IFERROR(SEARCH($AH$1,C324),0)</f>
        <v>0</v>
      </c>
      <c r="AI324" s="1">
        <f t="shared" ref="AI324:AI387" si="97">Z324*36</f>
        <v>69.623999999999995</v>
      </c>
      <c r="AJ324" s="1">
        <f t="shared" ref="AJ324:AJ387" si="98">AA324*60</f>
        <v>116.03999999999999</v>
      </c>
      <c r="AK324" s="1" t="str">
        <f t="shared" ref="AK324:AK387" si="99">IF(AD324&gt;0,G324*220,"")</f>
        <v/>
      </c>
      <c r="AL324" s="1" t="str">
        <f t="shared" ref="AL324:AL387" si="100">IF(AE324&gt;0,G324*(240),"")</f>
        <v/>
      </c>
      <c r="AM324" s="1">
        <f t="shared" si="85"/>
        <v>130</v>
      </c>
      <c r="AN324" s="5">
        <f t="shared" si="86"/>
        <v>0</v>
      </c>
      <c r="AO324" s="1" t="str">
        <f t="shared" ref="AO324:AO387" si="101">IF(AH324&gt;0,G324*4800,"")</f>
        <v/>
      </c>
    </row>
    <row r="325" spans="1:41">
      <c r="A325" t="s">
        <v>1151</v>
      </c>
      <c r="B325" t="s">
        <v>1152</v>
      </c>
      <c r="C325" t="s">
        <v>1153</v>
      </c>
      <c r="D325">
        <v>2964</v>
      </c>
      <c r="E325">
        <v>659</v>
      </c>
      <c r="F325">
        <v>0</v>
      </c>
      <c r="G325">
        <v>1</v>
      </c>
      <c r="H325">
        <v>1</v>
      </c>
      <c r="I325">
        <v>1</v>
      </c>
      <c r="L325" t="s">
        <v>1154</v>
      </c>
      <c r="M325" t="s">
        <v>1155</v>
      </c>
      <c r="N325" t="s">
        <v>1156</v>
      </c>
      <c r="O325">
        <v>0</v>
      </c>
      <c r="P325" t="s">
        <v>1157</v>
      </c>
      <c r="Q325" t="s">
        <v>374</v>
      </c>
      <c r="R325">
        <v>3136</v>
      </c>
      <c r="S325" t="s">
        <v>1155</v>
      </c>
      <c r="U325" t="s">
        <v>83</v>
      </c>
      <c r="V325" t="s">
        <v>1158</v>
      </c>
      <c r="W325">
        <v>12279763</v>
      </c>
      <c r="X325" t="s">
        <v>1159</v>
      </c>
      <c r="Y325">
        <f t="shared" si="87"/>
        <v>1.953276</v>
      </c>
      <c r="Z325">
        <f t="shared" si="88"/>
        <v>7.2460000000000004</v>
      </c>
      <c r="AA325">
        <f t="shared" si="89"/>
        <v>5.9279999999999999</v>
      </c>
      <c r="AB325" s="2">
        <f t="shared" si="90"/>
        <v>15</v>
      </c>
      <c r="AC325" s="2">
        <f t="shared" si="91"/>
        <v>12</v>
      </c>
      <c r="AD325" s="2">
        <f t="shared" si="92"/>
        <v>0</v>
      </c>
      <c r="AE325" s="2">
        <f t="shared" si="93"/>
        <v>0</v>
      </c>
      <c r="AF325" s="2">
        <f t="shared" si="94"/>
        <v>9</v>
      </c>
      <c r="AG325" s="2">
        <f t="shared" si="95"/>
        <v>0</v>
      </c>
      <c r="AH325" s="2">
        <f t="shared" si="96"/>
        <v>0</v>
      </c>
      <c r="AI325" s="1">
        <f t="shared" si="97"/>
        <v>260.85599999999999</v>
      </c>
      <c r="AJ325" s="1">
        <f t="shared" si="98"/>
        <v>355.68</v>
      </c>
      <c r="AK325" s="1" t="str">
        <f t="shared" si="99"/>
        <v/>
      </c>
      <c r="AL325" s="1" t="str">
        <f t="shared" si="100"/>
        <v/>
      </c>
      <c r="AM325" s="1">
        <f t="shared" si="85"/>
        <v>130</v>
      </c>
      <c r="AN325" s="5">
        <f t="shared" si="86"/>
        <v>0</v>
      </c>
      <c r="AO325" s="1" t="str">
        <f t="shared" si="101"/>
        <v/>
      </c>
    </row>
    <row r="326" spans="1:41">
      <c r="A326" t="s">
        <v>1160</v>
      </c>
      <c r="B326" t="s">
        <v>1152</v>
      </c>
      <c r="C326" t="s">
        <v>1161</v>
      </c>
      <c r="D326">
        <v>2998</v>
      </c>
      <c r="E326">
        <v>798</v>
      </c>
      <c r="F326">
        <v>0</v>
      </c>
      <c r="G326">
        <v>1</v>
      </c>
      <c r="H326">
        <v>1</v>
      </c>
      <c r="I326">
        <v>1</v>
      </c>
      <c r="J326">
        <v>1</v>
      </c>
      <c r="K326">
        <v>1</v>
      </c>
      <c r="L326" t="s">
        <v>1162</v>
      </c>
      <c r="M326" t="s">
        <v>1163</v>
      </c>
      <c r="N326" t="s">
        <v>1156</v>
      </c>
      <c r="O326">
        <v>0</v>
      </c>
      <c r="P326" t="s">
        <v>1157</v>
      </c>
      <c r="Q326" t="s">
        <v>374</v>
      </c>
      <c r="R326">
        <v>3136</v>
      </c>
      <c r="S326" t="s">
        <v>1163</v>
      </c>
      <c r="U326" t="s">
        <v>83</v>
      </c>
      <c r="V326" t="s">
        <v>1158</v>
      </c>
      <c r="W326">
        <v>12279762</v>
      </c>
      <c r="X326" t="s">
        <v>1164</v>
      </c>
      <c r="Y326">
        <f t="shared" si="87"/>
        <v>2.392404</v>
      </c>
      <c r="Z326">
        <f t="shared" si="88"/>
        <v>7.5919999999999996</v>
      </c>
      <c r="AA326">
        <f t="shared" si="89"/>
        <v>7.5919999999999996</v>
      </c>
      <c r="AB326" s="2">
        <f t="shared" si="90"/>
        <v>15</v>
      </c>
      <c r="AC326" s="2">
        <f t="shared" si="91"/>
        <v>12</v>
      </c>
      <c r="AD326" s="2">
        <f t="shared" si="92"/>
        <v>0</v>
      </c>
      <c r="AE326" s="2">
        <f t="shared" si="93"/>
        <v>0</v>
      </c>
      <c r="AF326" s="2">
        <f t="shared" si="94"/>
        <v>9</v>
      </c>
      <c r="AG326" s="2">
        <f t="shared" si="95"/>
        <v>0</v>
      </c>
      <c r="AH326" s="2">
        <f t="shared" si="96"/>
        <v>0</v>
      </c>
      <c r="AI326" s="1">
        <f t="shared" si="97"/>
        <v>273.31200000000001</v>
      </c>
      <c r="AJ326" s="1">
        <f t="shared" si="98"/>
        <v>455.52</v>
      </c>
      <c r="AK326" s="1" t="str">
        <f t="shared" si="99"/>
        <v/>
      </c>
      <c r="AL326" s="1" t="str">
        <f t="shared" si="100"/>
        <v/>
      </c>
      <c r="AM326" s="1">
        <f t="shared" si="85"/>
        <v>130</v>
      </c>
      <c r="AN326" s="5">
        <f t="shared" si="86"/>
        <v>0</v>
      </c>
      <c r="AO326" s="1" t="str">
        <f t="shared" si="101"/>
        <v/>
      </c>
    </row>
    <row r="327" spans="1:41">
      <c r="A327" t="s">
        <v>1165</v>
      </c>
      <c r="B327" t="s">
        <v>1152</v>
      </c>
      <c r="C327" t="s">
        <v>1166</v>
      </c>
      <c r="D327">
        <v>717</v>
      </c>
      <c r="E327">
        <v>796</v>
      </c>
      <c r="F327">
        <v>0</v>
      </c>
      <c r="G327">
        <v>1</v>
      </c>
      <c r="H327">
        <v>1</v>
      </c>
      <c r="I327">
        <v>1</v>
      </c>
      <c r="J327">
        <v>1</v>
      </c>
      <c r="K327">
        <v>1</v>
      </c>
      <c r="L327" t="s">
        <v>1167</v>
      </c>
      <c r="M327" t="s">
        <v>1168</v>
      </c>
      <c r="N327" t="s">
        <v>1156</v>
      </c>
      <c r="O327">
        <v>0</v>
      </c>
      <c r="P327" t="s">
        <v>1157</v>
      </c>
      <c r="Q327" t="s">
        <v>374</v>
      </c>
      <c r="R327">
        <v>3136</v>
      </c>
      <c r="S327" t="s">
        <v>1168</v>
      </c>
      <c r="U327" t="s">
        <v>83</v>
      </c>
      <c r="V327" t="s">
        <v>1158</v>
      </c>
      <c r="W327">
        <v>12279750</v>
      </c>
      <c r="X327" t="s">
        <v>1169</v>
      </c>
      <c r="Y327">
        <f t="shared" si="87"/>
        <v>0.57073200000000002</v>
      </c>
      <c r="Z327">
        <f t="shared" si="88"/>
        <v>3.0259999999999998</v>
      </c>
      <c r="AA327">
        <f t="shared" si="89"/>
        <v>3.0259999999999998</v>
      </c>
      <c r="AB327" s="2">
        <f t="shared" si="90"/>
        <v>15</v>
      </c>
      <c r="AC327" s="2">
        <f t="shared" si="91"/>
        <v>12</v>
      </c>
      <c r="AD327" s="2">
        <f t="shared" si="92"/>
        <v>0</v>
      </c>
      <c r="AE327" s="2">
        <f t="shared" si="93"/>
        <v>0</v>
      </c>
      <c r="AF327" s="2">
        <f t="shared" si="94"/>
        <v>9</v>
      </c>
      <c r="AG327" s="2">
        <f t="shared" si="95"/>
        <v>0</v>
      </c>
      <c r="AH327" s="2">
        <f t="shared" si="96"/>
        <v>0</v>
      </c>
      <c r="AI327" s="1">
        <f t="shared" si="97"/>
        <v>108.93599999999999</v>
      </c>
      <c r="AJ327" s="1">
        <f t="shared" si="98"/>
        <v>181.56</v>
      </c>
      <c r="AK327" s="1" t="str">
        <f t="shared" si="99"/>
        <v/>
      </c>
      <c r="AL327" s="1" t="str">
        <f t="shared" si="100"/>
        <v/>
      </c>
      <c r="AM327" s="1">
        <f t="shared" si="85"/>
        <v>130</v>
      </c>
      <c r="AN327" s="5">
        <f t="shared" si="86"/>
        <v>0</v>
      </c>
      <c r="AO327" s="1" t="str">
        <f t="shared" si="101"/>
        <v/>
      </c>
    </row>
    <row r="328" spans="1:41">
      <c r="A328" t="s">
        <v>1170</v>
      </c>
      <c r="B328" t="s">
        <v>1152</v>
      </c>
      <c r="C328" t="s">
        <v>1171</v>
      </c>
      <c r="D328">
        <v>717</v>
      </c>
      <c r="E328">
        <v>796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1</v>
      </c>
      <c r="L328" t="s">
        <v>1172</v>
      </c>
      <c r="M328" t="s">
        <v>1173</v>
      </c>
      <c r="N328" t="s">
        <v>1156</v>
      </c>
      <c r="O328">
        <v>0</v>
      </c>
      <c r="P328" t="s">
        <v>1157</v>
      </c>
      <c r="Q328" t="s">
        <v>374</v>
      </c>
      <c r="R328">
        <v>3136</v>
      </c>
      <c r="S328" t="s">
        <v>1173</v>
      </c>
      <c r="U328" t="s">
        <v>83</v>
      </c>
      <c r="V328" t="s">
        <v>1158</v>
      </c>
      <c r="W328">
        <v>12279748</v>
      </c>
      <c r="X328" t="s">
        <v>1169</v>
      </c>
      <c r="Y328">
        <f t="shared" si="87"/>
        <v>0.57073200000000002</v>
      </c>
      <c r="Z328">
        <f t="shared" si="88"/>
        <v>3.0259999999999998</v>
      </c>
      <c r="AA328">
        <f t="shared" si="89"/>
        <v>3.0259999999999998</v>
      </c>
      <c r="AB328" s="2">
        <f t="shared" si="90"/>
        <v>15</v>
      </c>
      <c r="AC328" s="2">
        <f t="shared" si="91"/>
        <v>12</v>
      </c>
      <c r="AD328" s="2">
        <f t="shared" si="92"/>
        <v>0</v>
      </c>
      <c r="AE328" s="2">
        <f t="shared" si="93"/>
        <v>0</v>
      </c>
      <c r="AF328" s="2">
        <f t="shared" si="94"/>
        <v>9</v>
      </c>
      <c r="AG328" s="2">
        <f t="shared" si="95"/>
        <v>0</v>
      </c>
      <c r="AH328" s="2">
        <f t="shared" si="96"/>
        <v>0</v>
      </c>
      <c r="AI328" s="1">
        <f t="shared" si="97"/>
        <v>108.93599999999999</v>
      </c>
      <c r="AJ328" s="1">
        <f t="shared" si="98"/>
        <v>181.56</v>
      </c>
      <c r="AK328" s="1" t="str">
        <f t="shared" si="99"/>
        <v/>
      </c>
      <c r="AL328" s="1" t="str">
        <f t="shared" si="100"/>
        <v/>
      </c>
      <c r="AM328" s="1">
        <f t="shared" si="85"/>
        <v>130</v>
      </c>
      <c r="AN328" s="5">
        <f t="shared" si="86"/>
        <v>0</v>
      </c>
      <c r="AO328" s="1" t="str">
        <f t="shared" si="101"/>
        <v/>
      </c>
    </row>
    <row r="329" spans="1:41">
      <c r="A329" t="s">
        <v>1174</v>
      </c>
      <c r="B329" t="s">
        <v>1152</v>
      </c>
      <c r="C329" t="s">
        <v>1175</v>
      </c>
      <c r="D329">
        <v>2398</v>
      </c>
      <c r="E329">
        <v>228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1</v>
      </c>
      <c r="L329" t="s">
        <v>1176</v>
      </c>
      <c r="M329" t="s">
        <v>1177</v>
      </c>
      <c r="N329" t="s">
        <v>1156</v>
      </c>
      <c r="O329">
        <v>0</v>
      </c>
      <c r="P329" t="s">
        <v>1157</v>
      </c>
      <c r="Q329" t="s">
        <v>374</v>
      </c>
      <c r="R329">
        <v>3136</v>
      </c>
      <c r="S329" t="s">
        <v>1177</v>
      </c>
      <c r="U329" t="s">
        <v>83</v>
      </c>
      <c r="V329" t="s">
        <v>1158</v>
      </c>
      <c r="W329">
        <v>12279674</v>
      </c>
      <c r="X329" t="s">
        <v>1178</v>
      </c>
      <c r="Y329">
        <f t="shared" si="87"/>
        <v>0.54674400000000001</v>
      </c>
      <c r="Z329">
        <f t="shared" si="88"/>
        <v>5.2519999999999998</v>
      </c>
      <c r="AA329">
        <f t="shared" si="89"/>
        <v>5.2519999999999998</v>
      </c>
      <c r="AB329" s="2">
        <f t="shared" si="90"/>
        <v>15</v>
      </c>
      <c r="AC329" s="2">
        <f t="shared" si="91"/>
        <v>12</v>
      </c>
      <c r="AD329" s="2">
        <f t="shared" si="92"/>
        <v>0</v>
      </c>
      <c r="AE329" s="2">
        <f t="shared" si="93"/>
        <v>0</v>
      </c>
      <c r="AF329" s="2">
        <f t="shared" si="94"/>
        <v>9</v>
      </c>
      <c r="AG329" s="2">
        <f t="shared" si="95"/>
        <v>0</v>
      </c>
      <c r="AH329" s="2">
        <f t="shared" si="96"/>
        <v>0</v>
      </c>
      <c r="AI329" s="1">
        <f t="shared" si="97"/>
        <v>189.072</v>
      </c>
      <c r="AJ329" s="1">
        <f t="shared" si="98"/>
        <v>315.12</v>
      </c>
      <c r="AK329" s="1" t="str">
        <f t="shared" si="99"/>
        <v/>
      </c>
      <c r="AL329" s="1" t="str">
        <f t="shared" si="100"/>
        <v/>
      </c>
      <c r="AM329" s="1">
        <f t="shared" si="85"/>
        <v>130</v>
      </c>
      <c r="AN329" s="5">
        <f t="shared" si="86"/>
        <v>0</v>
      </c>
      <c r="AO329" s="1" t="str">
        <f t="shared" si="101"/>
        <v/>
      </c>
    </row>
    <row r="330" spans="1:41">
      <c r="A330" t="s">
        <v>1179</v>
      </c>
      <c r="B330" t="s">
        <v>1152</v>
      </c>
      <c r="C330" t="s">
        <v>1180</v>
      </c>
      <c r="D330">
        <v>2212</v>
      </c>
      <c r="E330">
        <v>543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 t="s">
        <v>1181</v>
      </c>
      <c r="M330" t="s">
        <v>1182</v>
      </c>
      <c r="N330" t="s">
        <v>1156</v>
      </c>
      <c r="O330">
        <v>0</v>
      </c>
      <c r="P330" t="s">
        <v>1157</v>
      </c>
      <c r="Q330" t="s">
        <v>374</v>
      </c>
      <c r="R330">
        <v>3136</v>
      </c>
      <c r="S330" t="s">
        <v>1182</v>
      </c>
      <c r="U330" t="s">
        <v>83</v>
      </c>
      <c r="V330" t="s">
        <v>1158</v>
      </c>
      <c r="W330">
        <v>12279714</v>
      </c>
      <c r="X330" t="s">
        <v>1178</v>
      </c>
      <c r="Y330">
        <f t="shared" si="87"/>
        <v>1.2011160000000001</v>
      </c>
      <c r="Z330">
        <f t="shared" si="88"/>
        <v>5.51</v>
      </c>
      <c r="AA330">
        <f t="shared" si="89"/>
        <v>5.51</v>
      </c>
      <c r="AB330" s="2">
        <f t="shared" si="90"/>
        <v>18</v>
      </c>
      <c r="AC330" s="2">
        <f t="shared" si="91"/>
        <v>0</v>
      </c>
      <c r="AD330" s="2">
        <f t="shared" si="92"/>
        <v>12</v>
      </c>
      <c r="AE330" s="2">
        <f t="shared" si="93"/>
        <v>15</v>
      </c>
      <c r="AF330" s="2">
        <f t="shared" si="94"/>
        <v>0</v>
      </c>
      <c r="AG330" s="2">
        <f t="shared" si="95"/>
        <v>0</v>
      </c>
      <c r="AH330" s="2">
        <f t="shared" si="96"/>
        <v>0</v>
      </c>
      <c r="AI330" s="1">
        <f t="shared" si="97"/>
        <v>198.35999999999999</v>
      </c>
      <c r="AJ330" s="1">
        <f t="shared" si="98"/>
        <v>330.59999999999997</v>
      </c>
      <c r="AK330" s="1">
        <f t="shared" si="99"/>
        <v>220</v>
      </c>
      <c r="AL330" s="1">
        <f t="shared" si="100"/>
        <v>240</v>
      </c>
      <c r="AM330" s="3" t="str">
        <f t="shared" si="85"/>
        <v/>
      </c>
      <c r="AN330" s="5">
        <f t="shared" si="86"/>
        <v>0</v>
      </c>
      <c r="AO330" s="1" t="str">
        <f t="shared" si="101"/>
        <v/>
      </c>
    </row>
    <row r="331" spans="1:41">
      <c r="A331" t="s">
        <v>1183</v>
      </c>
      <c r="B331" t="s">
        <v>1152</v>
      </c>
      <c r="C331" t="s">
        <v>1184</v>
      </c>
      <c r="D331">
        <v>2398</v>
      </c>
      <c r="E331">
        <v>196</v>
      </c>
      <c r="F331">
        <v>0</v>
      </c>
      <c r="G331">
        <v>1</v>
      </c>
      <c r="H331">
        <v>1</v>
      </c>
      <c r="I331">
        <v>1</v>
      </c>
      <c r="J331">
        <v>1</v>
      </c>
      <c r="K331">
        <v>1</v>
      </c>
      <c r="L331" t="s">
        <v>1185</v>
      </c>
      <c r="M331" t="s">
        <v>1186</v>
      </c>
      <c r="N331" t="s">
        <v>1156</v>
      </c>
      <c r="O331">
        <v>0</v>
      </c>
      <c r="P331" t="s">
        <v>1157</v>
      </c>
      <c r="Q331" t="s">
        <v>374</v>
      </c>
      <c r="R331">
        <v>3136</v>
      </c>
      <c r="S331" t="s">
        <v>1186</v>
      </c>
      <c r="U331" t="s">
        <v>83</v>
      </c>
      <c r="V331" t="s">
        <v>1158</v>
      </c>
      <c r="W331">
        <v>12279668</v>
      </c>
      <c r="X331" t="s">
        <v>1178</v>
      </c>
      <c r="Y331">
        <f t="shared" si="87"/>
        <v>0.47000799999999998</v>
      </c>
      <c r="Z331">
        <f t="shared" si="88"/>
        <v>5.1879999999999997</v>
      </c>
      <c r="AA331">
        <f t="shared" si="89"/>
        <v>5.1879999999999997</v>
      </c>
      <c r="AB331" s="2">
        <f t="shared" si="90"/>
        <v>15</v>
      </c>
      <c r="AC331" s="2">
        <f t="shared" si="91"/>
        <v>12</v>
      </c>
      <c r="AD331" s="2">
        <f t="shared" si="92"/>
        <v>0</v>
      </c>
      <c r="AE331" s="2">
        <f t="shared" si="93"/>
        <v>0</v>
      </c>
      <c r="AF331" s="2">
        <f t="shared" si="94"/>
        <v>9</v>
      </c>
      <c r="AG331" s="2">
        <f t="shared" si="95"/>
        <v>0</v>
      </c>
      <c r="AH331" s="2">
        <f t="shared" si="96"/>
        <v>0</v>
      </c>
      <c r="AI331" s="1">
        <f t="shared" si="97"/>
        <v>186.768</v>
      </c>
      <c r="AJ331" s="1">
        <f t="shared" si="98"/>
        <v>311.27999999999997</v>
      </c>
      <c r="AK331" s="1" t="str">
        <f t="shared" si="99"/>
        <v/>
      </c>
      <c r="AL331" s="1" t="str">
        <f t="shared" si="100"/>
        <v/>
      </c>
      <c r="AM331" s="1">
        <f t="shared" si="85"/>
        <v>130</v>
      </c>
      <c r="AN331" s="5">
        <f t="shared" si="86"/>
        <v>0</v>
      </c>
      <c r="AO331" s="1" t="str">
        <f t="shared" si="101"/>
        <v/>
      </c>
    </row>
    <row r="332" spans="1:41">
      <c r="A332" t="s">
        <v>1187</v>
      </c>
      <c r="B332" t="s">
        <v>1152</v>
      </c>
      <c r="C332" t="s">
        <v>1188</v>
      </c>
      <c r="D332">
        <v>668</v>
      </c>
      <c r="E332">
        <v>226</v>
      </c>
      <c r="F332">
        <v>0</v>
      </c>
      <c r="G332">
        <v>1</v>
      </c>
      <c r="H332">
        <v>1</v>
      </c>
      <c r="I332">
        <v>1</v>
      </c>
      <c r="L332" t="s">
        <v>1189</v>
      </c>
      <c r="M332" t="s">
        <v>1190</v>
      </c>
      <c r="N332" t="s">
        <v>1156</v>
      </c>
      <c r="O332">
        <v>0</v>
      </c>
      <c r="P332" t="s">
        <v>1157</v>
      </c>
      <c r="Q332" t="s">
        <v>374</v>
      </c>
      <c r="R332">
        <v>3136</v>
      </c>
      <c r="S332" t="s">
        <v>1190</v>
      </c>
      <c r="U332" t="s">
        <v>83</v>
      </c>
      <c r="V332" t="s">
        <v>1158</v>
      </c>
      <c r="W332">
        <v>12279677</v>
      </c>
      <c r="X332" t="s">
        <v>1178</v>
      </c>
      <c r="Y332">
        <f t="shared" si="87"/>
        <v>0.15096799999999999</v>
      </c>
      <c r="Z332">
        <f t="shared" si="88"/>
        <v>1.788</v>
      </c>
      <c r="AA332">
        <f t="shared" si="89"/>
        <v>1.3360000000000001</v>
      </c>
      <c r="AB332" s="2">
        <f t="shared" si="90"/>
        <v>18</v>
      </c>
      <c r="AC332" s="2">
        <f t="shared" si="91"/>
        <v>12</v>
      </c>
      <c r="AD332" s="2">
        <f t="shared" si="92"/>
        <v>0</v>
      </c>
      <c r="AE332" s="2">
        <f t="shared" si="93"/>
        <v>15</v>
      </c>
      <c r="AF332" s="2">
        <f t="shared" si="94"/>
        <v>9</v>
      </c>
      <c r="AG332" s="2">
        <f t="shared" si="95"/>
        <v>0</v>
      </c>
      <c r="AH332" s="2">
        <f t="shared" si="96"/>
        <v>0</v>
      </c>
      <c r="AI332" s="1">
        <f t="shared" si="97"/>
        <v>64.367999999999995</v>
      </c>
      <c r="AJ332" s="1">
        <f t="shared" si="98"/>
        <v>80.160000000000011</v>
      </c>
      <c r="AK332" s="1" t="str">
        <f t="shared" si="99"/>
        <v/>
      </c>
      <c r="AL332" s="1">
        <f t="shared" si="100"/>
        <v>240</v>
      </c>
      <c r="AM332" s="1">
        <f t="shared" si="85"/>
        <v>130</v>
      </c>
      <c r="AN332" s="5">
        <f t="shared" si="86"/>
        <v>0</v>
      </c>
      <c r="AO332" s="1" t="str">
        <f t="shared" si="101"/>
        <v/>
      </c>
    </row>
    <row r="333" spans="1:41">
      <c r="A333" t="s">
        <v>1191</v>
      </c>
      <c r="B333" t="s">
        <v>1152</v>
      </c>
      <c r="C333" t="s">
        <v>1192</v>
      </c>
      <c r="D333">
        <v>668</v>
      </c>
      <c r="E333">
        <v>226</v>
      </c>
      <c r="F333">
        <v>0</v>
      </c>
      <c r="G333">
        <v>1</v>
      </c>
      <c r="H333">
        <v>1</v>
      </c>
      <c r="I333">
        <v>1</v>
      </c>
      <c r="L333" t="s">
        <v>1193</v>
      </c>
      <c r="M333" t="s">
        <v>1194</v>
      </c>
      <c r="N333" t="s">
        <v>1156</v>
      </c>
      <c r="O333">
        <v>0</v>
      </c>
      <c r="P333" t="s">
        <v>1157</v>
      </c>
      <c r="Q333" t="s">
        <v>374</v>
      </c>
      <c r="R333">
        <v>3136</v>
      </c>
      <c r="S333" t="s">
        <v>1194</v>
      </c>
      <c r="U333" t="s">
        <v>83</v>
      </c>
      <c r="V333" t="s">
        <v>1158</v>
      </c>
      <c r="W333">
        <v>12279671</v>
      </c>
      <c r="X333" t="s">
        <v>1178</v>
      </c>
      <c r="Y333">
        <f t="shared" si="87"/>
        <v>0.15096799999999999</v>
      </c>
      <c r="Z333">
        <f t="shared" si="88"/>
        <v>1.788</v>
      </c>
      <c r="AA333">
        <f t="shared" si="89"/>
        <v>1.3360000000000001</v>
      </c>
      <c r="AB333" s="2">
        <f t="shared" si="90"/>
        <v>18</v>
      </c>
      <c r="AC333" s="2">
        <f t="shared" si="91"/>
        <v>12</v>
      </c>
      <c r="AD333" s="2">
        <f t="shared" si="92"/>
        <v>0</v>
      </c>
      <c r="AE333" s="2">
        <f t="shared" si="93"/>
        <v>15</v>
      </c>
      <c r="AF333" s="2">
        <f t="shared" si="94"/>
        <v>9</v>
      </c>
      <c r="AG333" s="2">
        <f t="shared" si="95"/>
        <v>0</v>
      </c>
      <c r="AH333" s="2">
        <f t="shared" si="96"/>
        <v>0</v>
      </c>
      <c r="AI333" s="1">
        <f t="shared" si="97"/>
        <v>64.367999999999995</v>
      </c>
      <c r="AJ333" s="1">
        <f t="shared" si="98"/>
        <v>80.160000000000011</v>
      </c>
      <c r="AK333" s="1" t="str">
        <f t="shared" si="99"/>
        <v/>
      </c>
      <c r="AL333" s="1">
        <f t="shared" si="100"/>
        <v>240</v>
      </c>
      <c r="AM333" s="1">
        <f t="shared" si="85"/>
        <v>130</v>
      </c>
      <c r="AN333" s="5">
        <f t="shared" si="86"/>
        <v>0</v>
      </c>
      <c r="AO333" s="1" t="str">
        <f t="shared" si="101"/>
        <v/>
      </c>
    </row>
    <row r="334" spans="1:41">
      <c r="A334" t="s">
        <v>1195</v>
      </c>
      <c r="B334" t="s">
        <v>1152</v>
      </c>
      <c r="C334" t="s">
        <v>1196</v>
      </c>
      <c r="D334">
        <v>1396</v>
      </c>
      <c r="E334">
        <v>346</v>
      </c>
      <c r="F334">
        <v>0</v>
      </c>
      <c r="G334">
        <v>4</v>
      </c>
      <c r="H334">
        <v>1</v>
      </c>
      <c r="L334" t="s">
        <v>1197</v>
      </c>
      <c r="M334" t="s">
        <v>1198</v>
      </c>
      <c r="N334" t="s">
        <v>1156</v>
      </c>
      <c r="O334">
        <v>0</v>
      </c>
      <c r="P334" t="s">
        <v>325</v>
      </c>
      <c r="Q334" t="s">
        <v>326</v>
      </c>
      <c r="R334">
        <v>10568</v>
      </c>
      <c r="S334" t="s">
        <v>1198</v>
      </c>
      <c r="U334" t="s">
        <v>83</v>
      </c>
      <c r="V334" t="s">
        <v>327</v>
      </c>
      <c r="W334">
        <v>12280335</v>
      </c>
      <c r="X334" t="s">
        <v>1199</v>
      </c>
      <c r="Y334">
        <f t="shared" si="87"/>
        <v>1.932064</v>
      </c>
      <c r="Z334">
        <f t="shared" si="88"/>
        <v>13.936</v>
      </c>
      <c r="AA334">
        <f t="shared" si="89"/>
        <v>5.5839999999999996</v>
      </c>
      <c r="AB334" s="2">
        <f t="shared" si="90"/>
        <v>23</v>
      </c>
      <c r="AC334" s="2">
        <f t="shared" si="91"/>
        <v>10</v>
      </c>
      <c r="AD334" s="2">
        <f t="shared" si="92"/>
        <v>16</v>
      </c>
      <c r="AE334" s="2">
        <f t="shared" si="93"/>
        <v>20</v>
      </c>
      <c r="AF334" s="2">
        <f t="shared" si="94"/>
        <v>0</v>
      </c>
      <c r="AG334" s="2">
        <f t="shared" si="95"/>
        <v>0</v>
      </c>
      <c r="AH334" s="2">
        <f t="shared" si="96"/>
        <v>0</v>
      </c>
      <c r="AI334" s="1">
        <f t="shared" si="97"/>
        <v>501.69600000000003</v>
      </c>
      <c r="AJ334" s="1">
        <f t="shared" si="98"/>
        <v>335.03999999999996</v>
      </c>
      <c r="AK334" s="1">
        <f t="shared" si="99"/>
        <v>880</v>
      </c>
      <c r="AL334" s="1">
        <f t="shared" si="100"/>
        <v>960</v>
      </c>
      <c r="AM334" s="3" t="str">
        <f t="shared" si="85"/>
        <v/>
      </c>
      <c r="AN334" s="5">
        <f t="shared" si="86"/>
        <v>0</v>
      </c>
      <c r="AO334" s="1" t="str">
        <f t="shared" si="101"/>
        <v/>
      </c>
    </row>
    <row r="335" spans="1:41">
      <c r="A335" t="s">
        <v>918</v>
      </c>
      <c r="B335" t="s">
        <v>1152</v>
      </c>
      <c r="C335" t="s">
        <v>1200</v>
      </c>
      <c r="D335">
        <v>598</v>
      </c>
      <c r="E335">
        <v>458</v>
      </c>
      <c r="F335">
        <v>0</v>
      </c>
      <c r="G335">
        <v>2</v>
      </c>
      <c r="H335">
        <v>1</v>
      </c>
      <c r="I335">
        <v>1</v>
      </c>
      <c r="J335">
        <v>1</v>
      </c>
      <c r="K335">
        <v>1</v>
      </c>
      <c r="L335" t="s">
        <v>920</v>
      </c>
      <c r="M335" t="s">
        <v>921</v>
      </c>
      <c r="N335" t="s">
        <v>1156</v>
      </c>
      <c r="O335">
        <v>0</v>
      </c>
      <c r="P335" t="s">
        <v>406</v>
      </c>
      <c r="Q335" t="s">
        <v>374</v>
      </c>
      <c r="R335">
        <v>3136</v>
      </c>
      <c r="S335" t="s">
        <v>921</v>
      </c>
      <c r="U335" t="s">
        <v>83</v>
      </c>
      <c r="V335" t="s">
        <v>407</v>
      </c>
      <c r="W335">
        <v>12277746</v>
      </c>
      <c r="X335" t="s">
        <v>406</v>
      </c>
      <c r="Y335">
        <f t="shared" si="87"/>
        <v>0.54776800000000003</v>
      </c>
      <c r="Z335">
        <f t="shared" si="88"/>
        <v>4.2240000000000002</v>
      </c>
      <c r="AA335">
        <f t="shared" si="89"/>
        <v>4.2240000000000002</v>
      </c>
      <c r="AB335" s="2">
        <f t="shared" si="90"/>
        <v>14</v>
      </c>
      <c r="AC335" s="2">
        <f t="shared" si="91"/>
        <v>11</v>
      </c>
      <c r="AD335" s="2">
        <f t="shared" si="92"/>
        <v>0</v>
      </c>
      <c r="AE335" s="2">
        <f t="shared" si="93"/>
        <v>0</v>
      </c>
      <c r="AF335" s="2">
        <f t="shared" si="94"/>
        <v>8</v>
      </c>
      <c r="AG335" s="2">
        <f t="shared" si="95"/>
        <v>0</v>
      </c>
      <c r="AH335" s="2">
        <f t="shared" si="96"/>
        <v>0</v>
      </c>
      <c r="AI335" s="1">
        <f t="shared" si="97"/>
        <v>152.06400000000002</v>
      </c>
      <c r="AJ335" s="1">
        <f t="shared" si="98"/>
        <v>253.44</v>
      </c>
      <c r="AK335" s="1" t="str">
        <f t="shared" si="99"/>
        <v/>
      </c>
      <c r="AL335" s="1" t="str">
        <f t="shared" si="100"/>
        <v/>
      </c>
      <c r="AM335" s="1">
        <f t="shared" si="85"/>
        <v>260</v>
      </c>
      <c r="AN335" s="5">
        <f t="shared" si="86"/>
        <v>0</v>
      </c>
      <c r="AO335" s="1" t="str">
        <f t="shared" si="101"/>
        <v/>
      </c>
    </row>
    <row r="336" spans="1:41">
      <c r="A336" t="s">
        <v>955</v>
      </c>
      <c r="B336" t="s">
        <v>1152</v>
      </c>
      <c r="C336" t="s">
        <v>956</v>
      </c>
      <c r="D336">
        <v>556</v>
      </c>
      <c r="E336">
        <v>426</v>
      </c>
      <c r="F336">
        <v>0</v>
      </c>
      <c r="G336">
        <v>2</v>
      </c>
      <c r="H336">
        <v>1</v>
      </c>
      <c r="L336" t="s">
        <v>957</v>
      </c>
      <c r="M336" t="s">
        <v>849</v>
      </c>
      <c r="N336" t="s">
        <v>1156</v>
      </c>
      <c r="O336">
        <v>0</v>
      </c>
      <c r="P336" t="s">
        <v>406</v>
      </c>
      <c r="Q336" t="s">
        <v>374</v>
      </c>
      <c r="R336">
        <v>3136</v>
      </c>
      <c r="S336" t="s">
        <v>849</v>
      </c>
      <c r="U336" t="s">
        <v>83</v>
      </c>
      <c r="V336" t="s">
        <v>407</v>
      </c>
      <c r="W336">
        <v>12277744</v>
      </c>
      <c r="X336" t="s">
        <v>406</v>
      </c>
      <c r="Y336">
        <f t="shared" si="87"/>
        <v>0.47371200000000002</v>
      </c>
      <c r="Z336">
        <f t="shared" si="88"/>
        <v>3.9279999999999999</v>
      </c>
      <c r="AA336">
        <f t="shared" si="89"/>
        <v>1.1120000000000001</v>
      </c>
      <c r="AB336" s="2">
        <f t="shared" si="90"/>
        <v>11</v>
      </c>
      <c r="AC336" s="2">
        <f t="shared" si="91"/>
        <v>0</v>
      </c>
      <c r="AD336" s="2">
        <f t="shared" si="92"/>
        <v>0</v>
      </c>
      <c r="AE336" s="2">
        <f t="shared" si="93"/>
        <v>0</v>
      </c>
      <c r="AF336" s="2">
        <f t="shared" si="94"/>
        <v>8</v>
      </c>
      <c r="AG336" s="2">
        <f t="shared" si="95"/>
        <v>0</v>
      </c>
      <c r="AH336" s="2">
        <f t="shared" si="96"/>
        <v>0</v>
      </c>
      <c r="AI336" s="1">
        <f t="shared" si="97"/>
        <v>141.40799999999999</v>
      </c>
      <c r="AJ336" s="1">
        <f t="shared" si="98"/>
        <v>66.72</v>
      </c>
      <c r="AK336" s="1" t="str">
        <f t="shared" si="99"/>
        <v/>
      </c>
      <c r="AL336" s="1" t="str">
        <f t="shared" si="100"/>
        <v/>
      </c>
      <c r="AM336" s="1">
        <f t="shared" si="85"/>
        <v>260</v>
      </c>
      <c r="AN336" s="5">
        <f t="shared" si="86"/>
        <v>0</v>
      </c>
      <c r="AO336" s="1" t="str">
        <f t="shared" si="101"/>
        <v/>
      </c>
    </row>
    <row r="337" spans="1:41">
      <c r="A337" t="s">
        <v>402</v>
      </c>
      <c r="B337" t="s">
        <v>1152</v>
      </c>
      <c r="C337" t="s">
        <v>403</v>
      </c>
      <c r="D337">
        <v>453</v>
      </c>
      <c r="E337">
        <v>179</v>
      </c>
      <c r="F337">
        <v>0</v>
      </c>
      <c r="G337">
        <v>4</v>
      </c>
      <c r="H337">
        <v>1</v>
      </c>
      <c r="I337">
        <v>1</v>
      </c>
      <c r="J337">
        <v>1</v>
      </c>
      <c r="K337">
        <v>1</v>
      </c>
      <c r="L337" t="s">
        <v>404</v>
      </c>
      <c r="M337" t="s">
        <v>405</v>
      </c>
      <c r="N337" t="s">
        <v>1156</v>
      </c>
      <c r="O337">
        <v>0</v>
      </c>
      <c r="P337" t="s">
        <v>406</v>
      </c>
      <c r="Q337" t="s">
        <v>374</v>
      </c>
      <c r="R337">
        <v>3136</v>
      </c>
      <c r="S337" t="s">
        <v>405</v>
      </c>
      <c r="U337" t="s">
        <v>83</v>
      </c>
      <c r="V337" t="s">
        <v>407</v>
      </c>
      <c r="W337">
        <v>12277758</v>
      </c>
      <c r="X337" t="s">
        <v>406</v>
      </c>
      <c r="Y337">
        <f t="shared" si="87"/>
        <v>0.32434800000000003</v>
      </c>
      <c r="Z337">
        <f t="shared" si="88"/>
        <v>5.056</v>
      </c>
      <c r="AA337">
        <f t="shared" si="89"/>
        <v>5.056</v>
      </c>
      <c r="AB337" s="2">
        <f t="shared" si="90"/>
        <v>20</v>
      </c>
      <c r="AC337" s="2">
        <f t="shared" si="91"/>
        <v>11</v>
      </c>
      <c r="AD337" s="2">
        <f t="shared" si="92"/>
        <v>0</v>
      </c>
      <c r="AE337" s="2">
        <f t="shared" si="93"/>
        <v>17</v>
      </c>
      <c r="AF337" s="2">
        <f t="shared" si="94"/>
        <v>0</v>
      </c>
      <c r="AG337" s="2">
        <f t="shared" si="95"/>
        <v>0</v>
      </c>
      <c r="AH337" s="2">
        <f t="shared" si="96"/>
        <v>0</v>
      </c>
      <c r="AI337" s="1">
        <f t="shared" si="97"/>
        <v>182.01599999999999</v>
      </c>
      <c r="AJ337" s="1">
        <f t="shared" si="98"/>
        <v>303.36</v>
      </c>
      <c r="AK337" s="1" t="str">
        <f t="shared" si="99"/>
        <v/>
      </c>
      <c r="AL337" s="1">
        <f t="shared" si="100"/>
        <v>960</v>
      </c>
      <c r="AM337" s="1" t="str">
        <f t="shared" si="85"/>
        <v/>
      </c>
      <c r="AN337" s="5">
        <f t="shared" si="86"/>
        <v>0</v>
      </c>
      <c r="AO337" s="1" t="str">
        <f t="shared" si="101"/>
        <v/>
      </c>
    </row>
    <row r="338" spans="1:41">
      <c r="A338" t="s">
        <v>878</v>
      </c>
      <c r="B338" t="s">
        <v>1152</v>
      </c>
      <c r="C338" t="s">
        <v>1201</v>
      </c>
      <c r="D338">
        <v>556</v>
      </c>
      <c r="E338">
        <v>578</v>
      </c>
      <c r="F338">
        <v>0</v>
      </c>
      <c r="G338">
        <v>2</v>
      </c>
      <c r="H338">
        <v>1</v>
      </c>
      <c r="J338">
        <v>1</v>
      </c>
      <c r="K338">
        <v>1</v>
      </c>
      <c r="L338" t="s">
        <v>880</v>
      </c>
      <c r="M338" t="s">
        <v>881</v>
      </c>
      <c r="N338" t="s">
        <v>1156</v>
      </c>
      <c r="O338">
        <v>0</v>
      </c>
      <c r="P338" t="s">
        <v>406</v>
      </c>
      <c r="Q338" t="s">
        <v>374</v>
      </c>
      <c r="R338">
        <v>3136</v>
      </c>
      <c r="S338" t="s">
        <v>881</v>
      </c>
      <c r="U338" t="s">
        <v>83</v>
      </c>
      <c r="V338" t="s">
        <v>407</v>
      </c>
      <c r="W338">
        <v>12277738</v>
      </c>
      <c r="X338" t="s">
        <v>406</v>
      </c>
      <c r="Y338">
        <f t="shared" si="87"/>
        <v>0.64273599999999997</v>
      </c>
      <c r="Z338">
        <f t="shared" si="88"/>
        <v>4.5359999999999996</v>
      </c>
      <c r="AA338">
        <f t="shared" si="89"/>
        <v>3.4239999999999999</v>
      </c>
      <c r="AB338" s="2">
        <f t="shared" si="90"/>
        <v>20</v>
      </c>
      <c r="AC338" s="2">
        <f t="shared" si="91"/>
        <v>14</v>
      </c>
      <c r="AD338" s="2">
        <f t="shared" si="92"/>
        <v>0</v>
      </c>
      <c r="AE338" s="2">
        <f t="shared" si="93"/>
        <v>17</v>
      </c>
      <c r="AF338" s="2">
        <f t="shared" si="94"/>
        <v>11</v>
      </c>
      <c r="AG338" s="2">
        <f t="shared" si="95"/>
        <v>0</v>
      </c>
      <c r="AH338" s="2">
        <f t="shared" si="96"/>
        <v>0</v>
      </c>
      <c r="AI338" s="1">
        <f t="shared" si="97"/>
        <v>163.29599999999999</v>
      </c>
      <c r="AJ338" s="1">
        <f t="shared" si="98"/>
        <v>205.44</v>
      </c>
      <c r="AK338" s="1" t="str">
        <f t="shared" si="99"/>
        <v/>
      </c>
      <c r="AL338" s="1">
        <f t="shared" si="100"/>
        <v>480</v>
      </c>
      <c r="AM338" s="1">
        <f t="shared" si="85"/>
        <v>260</v>
      </c>
      <c r="AN338" s="5">
        <f t="shared" si="86"/>
        <v>0</v>
      </c>
      <c r="AO338" s="1" t="str">
        <f t="shared" si="101"/>
        <v/>
      </c>
    </row>
    <row r="339" spans="1:41">
      <c r="A339" t="s">
        <v>882</v>
      </c>
      <c r="B339" t="s">
        <v>1152</v>
      </c>
      <c r="C339" t="s">
        <v>1202</v>
      </c>
      <c r="D339">
        <v>556</v>
      </c>
      <c r="E339">
        <v>578</v>
      </c>
      <c r="F339">
        <v>0</v>
      </c>
      <c r="G339">
        <v>2</v>
      </c>
      <c r="H339">
        <v>1</v>
      </c>
      <c r="J339">
        <v>1</v>
      </c>
      <c r="K339">
        <v>1</v>
      </c>
      <c r="L339" t="s">
        <v>882</v>
      </c>
      <c r="M339" t="s">
        <v>884</v>
      </c>
      <c r="N339" t="s">
        <v>1156</v>
      </c>
      <c r="O339">
        <v>0</v>
      </c>
      <c r="P339" t="s">
        <v>406</v>
      </c>
      <c r="Q339" t="s">
        <v>374</v>
      </c>
      <c r="R339">
        <v>3136</v>
      </c>
      <c r="S339" t="s">
        <v>884</v>
      </c>
      <c r="U339" t="s">
        <v>83</v>
      </c>
      <c r="V339" t="s">
        <v>407</v>
      </c>
      <c r="W339">
        <v>12277741</v>
      </c>
      <c r="X339" t="s">
        <v>406</v>
      </c>
      <c r="Y339">
        <f t="shared" si="87"/>
        <v>0.64273599999999997</v>
      </c>
      <c r="Z339">
        <f t="shared" si="88"/>
        <v>4.5359999999999996</v>
      </c>
      <c r="AA339">
        <f t="shared" si="89"/>
        <v>3.4239999999999999</v>
      </c>
      <c r="AB339" s="2">
        <f t="shared" si="90"/>
        <v>17</v>
      </c>
      <c r="AC339" s="2">
        <f t="shared" si="91"/>
        <v>14</v>
      </c>
      <c r="AD339" s="2">
        <f t="shared" si="92"/>
        <v>0</v>
      </c>
      <c r="AE339" s="2">
        <f t="shared" si="93"/>
        <v>0</v>
      </c>
      <c r="AF339" s="2">
        <f t="shared" si="94"/>
        <v>11</v>
      </c>
      <c r="AG339" s="2">
        <f t="shared" si="95"/>
        <v>0</v>
      </c>
      <c r="AH339" s="2">
        <f t="shared" si="96"/>
        <v>0</v>
      </c>
      <c r="AI339" s="1">
        <f t="shared" si="97"/>
        <v>163.29599999999999</v>
      </c>
      <c r="AJ339" s="1">
        <f t="shared" si="98"/>
        <v>205.44</v>
      </c>
      <c r="AK339" s="1" t="str">
        <f t="shared" si="99"/>
        <v/>
      </c>
      <c r="AL339" s="1" t="str">
        <f t="shared" si="100"/>
        <v/>
      </c>
      <c r="AM339" s="1">
        <f t="shared" si="85"/>
        <v>260</v>
      </c>
      <c r="AN339" s="5">
        <f t="shared" si="86"/>
        <v>0</v>
      </c>
      <c r="AO339" s="1" t="str">
        <f t="shared" si="101"/>
        <v/>
      </c>
    </row>
    <row r="340" spans="1:41">
      <c r="A340" t="s">
        <v>408</v>
      </c>
      <c r="B340" t="s">
        <v>1152</v>
      </c>
      <c r="C340" t="s">
        <v>409</v>
      </c>
      <c r="D340">
        <v>598</v>
      </c>
      <c r="E340">
        <v>458</v>
      </c>
      <c r="F340">
        <v>0</v>
      </c>
      <c r="G340">
        <v>2</v>
      </c>
      <c r="H340">
        <v>1</v>
      </c>
      <c r="I340">
        <v>1</v>
      </c>
      <c r="J340">
        <v>1</v>
      </c>
      <c r="K340">
        <v>1</v>
      </c>
      <c r="L340" t="s">
        <v>410</v>
      </c>
      <c r="M340" t="s">
        <v>411</v>
      </c>
      <c r="N340" t="s">
        <v>1156</v>
      </c>
      <c r="O340">
        <v>0</v>
      </c>
      <c r="P340" t="s">
        <v>406</v>
      </c>
      <c r="Q340" t="s">
        <v>374</v>
      </c>
      <c r="R340">
        <v>3136</v>
      </c>
      <c r="S340" t="s">
        <v>411</v>
      </c>
      <c r="U340" t="s">
        <v>83</v>
      </c>
      <c r="V340" t="s">
        <v>407</v>
      </c>
      <c r="W340">
        <v>12277735</v>
      </c>
      <c r="X340" t="s">
        <v>406</v>
      </c>
      <c r="Y340">
        <f t="shared" si="87"/>
        <v>0.54776800000000003</v>
      </c>
      <c r="Z340">
        <f t="shared" si="88"/>
        <v>4.2240000000000002</v>
      </c>
      <c r="AA340">
        <f t="shared" si="89"/>
        <v>4.2240000000000002</v>
      </c>
      <c r="AB340" s="2">
        <f t="shared" si="90"/>
        <v>14</v>
      </c>
      <c r="AC340" s="2">
        <f t="shared" si="91"/>
        <v>11</v>
      </c>
      <c r="AD340" s="2">
        <f t="shared" si="92"/>
        <v>0</v>
      </c>
      <c r="AE340" s="2">
        <f t="shared" si="93"/>
        <v>0</v>
      </c>
      <c r="AF340" s="2">
        <f t="shared" si="94"/>
        <v>8</v>
      </c>
      <c r="AG340" s="2">
        <f t="shared" si="95"/>
        <v>0</v>
      </c>
      <c r="AH340" s="2">
        <f t="shared" si="96"/>
        <v>0</v>
      </c>
      <c r="AI340" s="1">
        <f t="shared" si="97"/>
        <v>152.06400000000002</v>
      </c>
      <c r="AJ340" s="1">
        <f t="shared" si="98"/>
        <v>253.44</v>
      </c>
      <c r="AK340" s="1" t="str">
        <f t="shared" si="99"/>
        <v/>
      </c>
      <c r="AL340" s="1" t="str">
        <f t="shared" si="100"/>
        <v/>
      </c>
      <c r="AM340" s="1">
        <f t="shared" si="85"/>
        <v>260</v>
      </c>
      <c r="AN340" s="5">
        <f t="shared" si="86"/>
        <v>0</v>
      </c>
      <c r="AO340" s="1" t="str">
        <f t="shared" si="101"/>
        <v/>
      </c>
    </row>
    <row r="341" spans="1:41">
      <c r="A341" t="s">
        <v>412</v>
      </c>
      <c r="B341" t="s">
        <v>1152</v>
      </c>
      <c r="C341" t="s">
        <v>413</v>
      </c>
      <c r="D341">
        <v>453</v>
      </c>
      <c r="E341">
        <v>179</v>
      </c>
      <c r="F341">
        <v>0</v>
      </c>
      <c r="G341">
        <v>2</v>
      </c>
      <c r="H341">
        <v>1</v>
      </c>
      <c r="I341">
        <v>1</v>
      </c>
      <c r="J341">
        <v>1</v>
      </c>
      <c r="K341">
        <v>1</v>
      </c>
      <c r="L341" t="s">
        <v>414</v>
      </c>
      <c r="M341" t="s">
        <v>415</v>
      </c>
      <c r="N341" t="s">
        <v>1156</v>
      </c>
      <c r="O341">
        <v>0</v>
      </c>
      <c r="P341" t="s">
        <v>406</v>
      </c>
      <c r="Q341" t="s">
        <v>374</v>
      </c>
      <c r="R341">
        <v>3136</v>
      </c>
      <c r="S341" t="s">
        <v>415</v>
      </c>
      <c r="U341" t="s">
        <v>83</v>
      </c>
      <c r="V341" t="s">
        <v>407</v>
      </c>
      <c r="W341">
        <v>12277732</v>
      </c>
      <c r="X341" t="s">
        <v>406</v>
      </c>
      <c r="Y341">
        <f t="shared" si="87"/>
        <v>0.16217400000000001</v>
      </c>
      <c r="Z341">
        <f t="shared" si="88"/>
        <v>2.528</v>
      </c>
      <c r="AA341">
        <f t="shared" si="89"/>
        <v>2.528</v>
      </c>
      <c r="AB341" s="2">
        <f t="shared" si="90"/>
        <v>23</v>
      </c>
      <c r="AC341" s="2">
        <f t="shared" si="91"/>
        <v>14</v>
      </c>
      <c r="AD341" s="2">
        <f t="shared" si="92"/>
        <v>0</v>
      </c>
      <c r="AE341" s="2">
        <f t="shared" si="93"/>
        <v>17</v>
      </c>
      <c r="AF341" s="2">
        <f t="shared" si="94"/>
        <v>11</v>
      </c>
      <c r="AG341" s="2">
        <f t="shared" si="95"/>
        <v>0</v>
      </c>
      <c r="AH341" s="2">
        <f t="shared" si="96"/>
        <v>0</v>
      </c>
      <c r="AI341" s="1">
        <f t="shared" si="97"/>
        <v>91.007999999999996</v>
      </c>
      <c r="AJ341" s="1">
        <f t="shared" si="98"/>
        <v>151.68</v>
      </c>
      <c r="AK341" s="1" t="str">
        <f t="shared" si="99"/>
        <v/>
      </c>
      <c r="AL341" s="1">
        <f t="shared" si="100"/>
        <v>480</v>
      </c>
      <c r="AM341" s="1">
        <f t="shared" si="85"/>
        <v>260</v>
      </c>
      <c r="AN341" s="5">
        <f t="shared" si="86"/>
        <v>0</v>
      </c>
      <c r="AO341" s="1" t="str">
        <f t="shared" si="101"/>
        <v/>
      </c>
    </row>
    <row r="342" spans="1:41">
      <c r="A342" t="s">
        <v>1203</v>
      </c>
      <c r="B342" t="s">
        <v>1152</v>
      </c>
      <c r="C342" t="s">
        <v>1204</v>
      </c>
      <c r="D342">
        <v>2364</v>
      </c>
      <c r="E342">
        <v>150</v>
      </c>
      <c r="F342">
        <v>0</v>
      </c>
      <c r="G342">
        <v>1</v>
      </c>
      <c r="H342">
        <v>1</v>
      </c>
      <c r="L342" t="s">
        <v>1205</v>
      </c>
      <c r="M342" t="s">
        <v>1206</v>
      </c>
      <c r="N342" t="s">
        <v>1207</v>
      </c>
      <c r="O342">
        <v>0</v>
      </c>
      <c r="P342" t="s">
        <v>1157</v>
      </c>
      <c r="Q342" t="s">
        <v>374</v>
      </c>
      <c r="R342">
        <v>3136</v>
      </c>
      <c r="S342" t="s">
        <v>1206</v>
      </c>
      <c r="U342" t="s">
        <v>83</v>
      </c>
      <c r="V342" t="s">
        <v>1158</v>
      </c>
      <c r="W342">
        <v>12279682</v>
      </c>
      <c r="X342" t="s">
        <v>1178</v>
      </c>
      <c r="Y342">
        <f t="shared" si="87"/>
        <v>0.35460000000000003</v>
      </c>
      <c r="Z342">
        <f t="shared" si="88"/>
        <v>5.0279999999999996</v>
      </c>
      <c r="AA342">
        <f t="shared" si="89"/>
        <v>2.3639999999999999</v>
      </c>
      <c r="AB342" s="2">
        <f t="shared" si="90"/>
        <v>15</v>
      </c>
      <c r="AC342" s="2">
        <f t="shared" si="91"/>
        <v>0</v>
      </c>
      <c r="AD342" s="2">
        <f t="shared" si="92"/>
        <v>0</v>
      </c>
      <c r="AE342" s="2">
        <f t="shared" si="93"/>
        <v>12</v>
      </c>
      <c r="AF342" s="2">
        <f t="shared" si="94"/>
        <v>9</v>
      </c>
      <c r="AG342" s="2">
        <f t="shared" si="95"/>
        <v>0</v>
      </c>
      <c r="AH342" s="2">
        <f t="shared" si="96"/>
        <v>0</v>
      </c>
      <c r="AI342" s="1">
        <f t="shared" si="97"/>
        <v>181.00799999999998</v>
      </c>
      <c r="AJ342" s="1">
        <f t="shared" si="98"/>
        <v>141.84</v>
      </c>
      <c r="AK342" s="1" t="str">
        <f t="shared" si="99"/>
        <v/>
      </c>
      <c r="AL342" s="1">
        <f t="shared" si="100"/>
        <v>240</v>
      </c>
      <c r="AM342" s="1">
        <f t="shared" si="85"/>
        <v>130</v>
      </c>
      <c r="AN342" s="5">
        <f t="shared" si="86"/>
        <v>0</v>
      </c>
      <c r="AO342" s="1" t="str">
        <f t="shared" si="101"/>
        <v/>
      </c>
    </row>
    <row r="343" spans="1:41">
      <c r="A343" t="s">
        <v>1208</v>
      </c>
      <c r="B343" t="s">
        <v>1152</v>
      </c>
      <c r="C343" t="s">
        <v>1209</v>
      </c>
      <c r="D343">
        <v>2364</v>
      </c>
      <c r="E343">
        <v>350</v>
      </c>
      <c r="F343">
        <v>0</v>
      </c>
      <c r="G343">
        <v>1</v>
      </c>
      <c r="H343">
        <v>1</v>
      </c>
      <c r="L343" t="s">
        <v>1210</v>
      </c>
      <c r="M343" t="s">
        <v>1211</v>
      </c>
      <c r="N343" t="s">
        <v>1207</v>
      </c>
      <c r="O343">
        <v>0</v>
      </c>
      <c r="P343" t="s">
        <v>1157</v>
      </c>
      <c r="Q343" t="s">
        <v>374</v>
      </c>
      <c r="R343">
        <v>3136</v>
      </c>
      <c r="S343" t="s">
        <v>1211</v>
      </c>
      <c r="U343" t="s">
        <v>83</v>
      </c>
      <c r="V343" t="s">
        <v>1158</v>
      </c>
      <c r="W343">
        <v>12279680</v>
      </c>
      <c r="X343" t="s">
        <v>1178</v>
      </c>
      <c r="Y343">
        <f t="shared" si="87"/>
        <v>0.82740000000000002</v>
      </c>
      <c r="Z343">
        <f t="shared" si="88"/>
        <v>5.4279999999999999</v>
      </c>
      <c r="AA343">
        <f t="shared" si="89"/>
        <v>2.3639999999999999</v>
      </c>
      <c r="AB343" s="2">
        <f t="shared" si="90"/>
        <v>15</v>
      </c>
      <c r="AC343" s="2">
        <f t="shared" si="91"/>
        <v>0</v>
      </c>
      <c r="AD343" s="2">
        <f t="shared" si="92"/>
        <v>0</v>
      </c>
      <c r="AE343" s="2">
        <f t="shared" si="93"/>
        <v>12</v>
      </c>
      <c r="AF343" s="2">
        <f t="shared" si="94"/>
        <v>9</v>
      </c>
      <c r="AG343" s="2">
        <f t="shared" si="95"/>
        <v>0</v>
      </c>
      <c r="AH343" s="2">
        <f t="shared" si="96"/>
        <v>0</v>
      </c>
      <c r="AI343" s="1">
        <f t="shared" si="97"/>
        <v>195.40799999999999</v>
      </c>
      <c r="AJ343" s="1">
        <f t="shared" si="98"/>
        <v>141.84</v>
      </c>
      <c r="AK343" s="1" t="str">
        <f t="shared" si="99"/>
        <v/>
      </c>
      <c r="AL343" s="1">
        <f t="shared" si="100"/>
        <v>240</v>
      </c>
      <c r="AM343" s="1">
        <f t="shared" si="85"/>
        <v>130</v>
      </c>
      <c r="AN343" s="5">
        <f t="shared" si="86"/>
        <v>0</v>
      </c>
      <c r="AO343" s="1" t="str">
        <f t="shared" si="101"/>
        <v/>
      </c>
    </row>
    <row r="344" spans="1:41">
      <c r="A344" t="s">
        <v>1212</v>
      </c>
      <c r="B344" t="s">
        <v>1152</v>
      </c>
      <c r="C344" t="s">
        <v>1213</v>
      </c>
      <c r="D344">
        <v>698</v>
      </c>
      <c r="E344">
        <v>498</v>
      </c>
      <c r="F344">
        <v>0</v>
      </c>
      <c r="G344">
        <v>1</v>
      </c>
      <c r="H344">
        <v>1</v>
      </c>
      <c r="I344">
        <v>1</v>
      </c>
      <c r="J344">
        <v>1</v>
      </c>
      <c r="K344">
        <v>1</v>
      </c>
      <c r="L344" t="s">
        <v>1214</v>
      </c>
      <c r="M344" t="s">
        <v>1215</v>
      </c>
      <c r="N344" t="s">
        <v>1207</v>
      </c>
      <c r="O344">
        <v>0</v>
      </c>
      <c r="P344" t="s">
        <v>1216</v>
      </c>
      <c r="Q344" t="s">
        <v>374</v>
      </c>
      <c r="R344">
        <v>3136</v>
      </c>
      <c r="S344" t="s">
        <v>1215</v>
      </c>
      <c r="U344" t="s">
        <v>83</v>
      </c>
      <c r="V344" t="s">
        <v>475</v>
      </c>
      <c r="W344">
        <v>12276386</v>
      </c>
      <c r="X344" t="s">
        <v>1216</v>
      </c>
      <c r="Y344">
        <f t="shared" si="87"/>
        <v>0.34760400000000002</v>
      </c>
      <c r="Z344">
        <f t="shared" si="88"/>
        <v>2.3919999999999999</v>
      </c>
      <c r="AA344">
        <f t="shared" si="89"/>
        <v>2.3919999999999999</v>
      </c>
      <c r="AB344" s="2">
        <f t="shared" si="90"/>
        <v>19</v>
      </c>
      <c r="AC344" s="2">
        <f t="shared" si="91"/>
        <v>8</v>
      </c>
      <c r="AD344" s="2">
        <f t="shared" si="92"/>
        <v>0</v>
      </c>
      <c r="AE344" s="2">
        <f t="shared" si="93"/>
        <v>0</v>
      </c>
      <c r="AF344" s="2">
        <f t="shared" si="94"/>
        <v>0</v>
      </c>
      <c r="AG344" s="2">
        <f t="shared" si="95"/>
        <v>0</v>
      </c>
      <c r="AH344" s="2">
        <f t="shared" si="96"/>
        <v>0</v>
      </c>
      <c r="AI344" s="1">
        <f t="shared" si="97"/>
        <v>86.111999999999995</v>
      </c>
      <c r="AJ344" s="1">
        <f t="shared" si="98"/>
        <v>143.51999999999998</v>
      </c>
      <c r="AK344" s="1" t="str">
        <f t="shared" si="99"/>
        <v/>
      </c>
      <c r="AL344" s="1" t="str">
        <f t="shared" si="100"/>
        <v/>
      </c>
      <c r="AM344" s="1" t="str">
        <f t="shared" si="85"/>
        <v/>
      </c>
      <c r="AN344" s="5">
        <f t="shared" si="86"/>
        <v>0</v>
      </c>
      <c r="AO344" s="1" t="str">
        <f t="shared" si="101"/>
        <v/>
      </c>
    </row>
    <row r="345" spans="1:41">
      <c r="A345" t="s">
        <v>1217</v>
      </c>
      <c r="B345" t="s">
        <v>1218</v>
      </c>
      <c r="C345" t="s">
        <v>1219</v>
      </c>
      <c r="D345">
        <v>1398</v>
      </c>
      <c r="E345">
        <v>600</v>
      </c>
      <c r="F345">
        <v>0</v>
      </c>
      <c r="G345">
        <v>1</v>
      </c>
      <c r="H345">
        <v>1</v>
      </c>
      <c r="I345">
        <v>1</v>
      </c>
      <c r="J345">
        <v>1</v>
      </c>
      <c r="K345">
        <v>1</v>
      </c>
      <c r="L345" t="s">
        <v>1220</v>
      </c>
      <c r="M345" t="s">
        <v>1221</v>
      </c>
      <c r="N345" t="s">
        <v>1222</v>
      </c>
      <c r="O345">
        <v>0</v>
      </c>
      <c r="P345" t="s">
        <v>1137</v>
      </c>
      <c r="Q345" t="s">
        <v>134</v>
      </c>
      <c r="R345">
        <v>10695</v>
      </c>
      <c r="S345" t="s">
        <v>1221</v>
      </c>
      <c r="U345" t="s">
        <v>135</v>
      </c>
      <c r="V345" t="s">
        <v>155</v>
      </c>
      <c r="W345">
        <v>12278422</v>
      </c>
      <c r="X345" t="s">
        <v>1138</v>
      </c>
      <c r="Y345">
        <f t="shared" si="87"/>
        <v>0.83879999999999999</v>
      </c>
      <c r="Z345">
        <f t="shared" si="88"/>
        <v>3.996</v>
      </c>
      <c r="AA345">
        <f t="shared" si="89"/>
        <v>3.996</v>
      </c>
      <c r="AB345" s="2">
        <f t="shared" si="90"/>
        <v>16</v>
      </c>
      <c r="AC345" s="2">
        <f t="shared" si="91"/>
        <v>13</v>
      </c>
      <c r="AD345" s="2">
        <f t="shared" si="92"/>
        <v>0</v>
      </c>
      <c r="AE345" s="2">
        <f t="shared" si="93"/>
        <v>0</v>
      </c>
      <c r="AF345" s="2">
        <f t="shared" si="94"/>
        <v>10</v>
      </c>
      <c r="AG345" s="2">
        <f t="shared" si="95"/>
        <v>0</v>
      </c>
      <c r="AH345" s="2">
        <f t="shared" si="96"/>
        <v>0</v>
      </c>
      <c r="AI345" s="1">
        <f t="shared" si="97"/>
        <v>143.85599999999999</v>
      </c>
      <c r="AJ345" s="1">
        <f t="shared" si="98"/>
        <v>239.76</v>
      </c>
      <c r="AK345" s="1" t="str">
        <f t="shared" si="99"/>
        <v/>
      </c>
      <c r="AL345" s="1" t="str">
        <f t="shared" si="100"/>
        <v/>
      </c>
      <c r="AM345" s="1">
        <f t="shared" si="85"/>
        <v>130</v>
      </c>
      <c r="AN345" s="5">
        <f t="shared" si="86"/>
        <v>0</v>
      </c>
      <c r="AO345" s="1" t="str">
        <f t="shared" si="101"/>
        <v/>
      </c>
    </row>
    <row r="346" spans="1:41">
      <c r="A346" t="s">
        <v>1223</v>
      </c>
      <c r="B346" t="s">
        <v>1224</v>
      </c>
      <c r="C346" t="s">
        <v>1225</v>
      </c>
      <c r="D346">
        <v>1172</v>
      </c>
      <c r="E346">
        <v>126</v>
      </c>
      <c r="F346">
        <v>0</v>
      </c>
      <c r="G346">
        <v>1</v>
      </c>
      <c r="H346">
        <v>1</v>
      </c>
      <c r="I346">
        <v>1</v>
      </c>
      <c r="J346">
        <v>1</v>
      </c>
      <c r="K346">
        <v>1</v>
      </c>
      <c r="L346" t="s">
        <v>1226</v>
      </c>
      <c r="M346" t="s">
        <v>1227</v>
      </c>
      <c r="N346" t="s">
        <v>1228</v>
      </c>
      <c r="O346">
        <v>0</v>
      </c>
      <c r="P346" t="s">
        <v>271</v>
      </c>
      <c r="Q346" t="s">
        <v>134</v>
      </c>
      <c r="R346">
        <v>10695</v>
      </c>
      <c r="S346" t="s">
        <v>1227</v>
      </c>
      <c r="U346" t="s">
        <v>272</v>
      </c>
      <c r="V346" t="s">
        <v>273</v>
      </c>
      <c r="W346">
        <v>12277853</v>
      </c>
      <c r="X346" t="s">
        <v>1229</v>
      </c>
      <c r="Y346">
        <f t="shared" si="87"/>
        <v>0.147672</v>
      </c>
      <c r="Z346">
        <f t="shared" si="88"/>
        <v>2.5960000000000001</v>
      </c>
      <c r="AA346">
        <f t="shared" si="89"/>
        <v>2.5960000000000001</v>
      </c>
      <c r="AB346" s="2">
        <f t="shared" si="90"/>
        <v>15</v>
      </c>
      <c r="AC346" s="2">
        <f t="shared" si="91"/>
        <v>12</v>
      </c>
      <c r="AD346" s="2">
        <f t="shared" si="92"/>
        <v>0</v>
      </c>
      <c r="AE346" s="2">
        <f t="shared" si="93"/>
        <v>0</v>
      </c>
      <c r="AF346" s="2">
        <f t="shared" si="94"/>
        <v>9</v>
      </c>
      <c r="AG346" s="2">
        <f t="shared" si="95"/>
        <v>0</v>
      </c>
      <c r="AH346" s="2">
        <f t="shared" si="96"/>
        <v>0</v>
      </c>
      <c r="AI346" s="1">
        <f t="shared" si="97"/>
        <v>93.456000000000003</v>
      </c>
      <c r="AJ346" s="1">
        <f t="shared" si="98"/>
        <v>155.76</v>
      </c>
      <c r="AK346" s="1" t="str">
        <f t="shared" si="99"/>
        <v/>
      </c>
      <c r="AL346" s="1" t="str">
        <f t="shared" si="100"/>
        <v/>
      </c>
      <c r="AM346" s="1">
        <f t="shared" si="85"/>
        <v>130</v>
      </c>
      <c r="AN346" s="5">
        <f t="shared" si="86"/>
        <v>0</v>
      </c>
      <c r="AO346" s="1" t="str">
        <f t="shared" si="101"/>
        <v/>
      </c>
    </row>
    <row r="347" spans="1:41">
      <c r="A347" t="s">
        <v>1230</v>
      </c>
      <c r="B347" t="s">
        <v>1224</v>
      </c>
      <c r="C347" t="s">
        <v>1231</v>
      </c>
      <c r="D347">
        <v>458</v>
      </c>
      <c r="E347">
        <v>162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1</v>
      </c>
      <c r="L347" t="s">
        <v>1232</v>
      </c>
      <c r="M347" t="s">
        <v>1233</v>
      </c>
      <c r="N347" t="s">
        <v>1228</v>
      </c>
      <c r="O347">
        <v>0</v>
      </c>
      <c r="P347" t="s">
        <v>289</v>
      </c>
      <c r="Q347" t="s">
        <v>134</v>
      </c>
      <c r="R347">
        <v>10695</v>
      </c>
      <c r="S347" t="s">
        <v>1233</v>
      </c>
      <c r="U347" t="s">
        <v>290</v>
      </c>
      <c r="V347" t="s">
        <v>291</v>
      </c>
      <c r="W347">
        <v>12278055</v>
      </c>
      <c r="X347" t="s">
        <v>680</v>
      </c>
      <c r="Y347">
        <f t="shared" si="87"/>
        <v>7.4195999999999998E-2</v>
      </c>
      <c r="Z347">
        <f t="shared" si="88"/>
        <v>1.24</v>
      </c>
      <c r="AA347">
        <f t="shared" si="89"/>
        <v>1.24</v>
      </c>
      <c r="AB347" s="2">
        <f t="shared" si="90"/>
        <v>21</v>
      </c>
      <c r="AC347" s="2">
        <f t="shared" si="91"/>
        <v>15</v>
      </c>
      <c r="AD347" s="2">
        <f t="shared" si="92"/>
        <v>0</v>
      </c>
      <c r="AE347" s="2">
        <f t="shared" si="93"/>
        <v>18</v>
      </c>
      <c r="AF347" s="2">
        <f t="shared" si="94"/>
        <v>12</v>
      </c>
      <c r="AG347" s="2">
        <f t="shared" si="95"/>
        <v>0</v>
      </c>
      <c r="AH347" s="2">
        <f t="shared" si="96"/>
        <v>0</v>
      </c>
      <c r="AI347" s="1">
        <f t="shared" si="97"/>
        <v>44.64</v>
      </c>
      <c r="AJ347" s="1">
        <f t="shared" si="98"/>
        <v>74.400000000000006</v>
      </c>
      <c r="AK347" s="1" t="str">
        <f t="shared" si="99"/>
        <v/>
      </c>
      <c r="AL347" s="1">
        <f t="shared" si="100"/>
        <v>240</v>
      </c>
      <c r="AM347" s="1">
        <f t="shared" si="85"/>
        <v>130</v>
      </c>
      <c r="AN347" s="5">
        <f t="shared" si="86"/>
        <v>0</v>
      </c>
      <c r="AO347" s="1" t="str">
        <f t="shared" si="101"/>
        <v/>
      </c>
    </row>
    <row r="348" spans="1:41">
      <c r="A348" t="s">
        <v>1234</v>
      </c>
      <c r="B348" t="s">
        <v>1224</v>
      </c>
      <c r="C348" t="s">
        <v>1235</v>
      </c>
      <c r="D348">
        <v>458</v>
      </c>
      <c r="E348">
        <v>178</v>
      </c>
      <c r="F348">
        <v>0</v>
      </c>
      <c r="G348">
        <v>2</v>
      </c>
      <c r="H348">
        <v>1</v>
      </c>
      <c r="I348">
        <v>1</v>
      </c>
      <c r="J348">
        <v>1</v>
      </c>
      <c r="K348">
        <v>1</v>
      </c>
      <c r="L348" t="s">
        <v>1236</v>
      </c>
      <c r="M348" t="s">
        <v>1237</v>
      </c>
      <c r="N348" t="s">
        <v>1228</v>
      </c>
      <c r="O348">
        <v>0</v>
      </c>
      <c r="P348" t="s">
        <v>289</v>
      </c>
      <c r="Q348" t="s">
        <v>134</v>
      </c>
      <c r="R348">
        <v>10695</v>
      </c>
      <c r="S348" t="s">
        <v>1237</v>
      </c>
      <c r="U348" t="s">
        <v>290</v>
      </c>
      <c r="V348" t="s">
        <v>291</v>
      </c>
      <c r="W348">
        <v>12278052</v>
      </c>
      <c r="X348" t="s">
        <v>680</v>
      </c>
      <c r="Y348">
        <f t="shared" si="87"/>
        <v>0.163048</v>
      </c>
      <c r="Z348">
        <f t="shared" si="88"/>
        <v>2.544</v>
      </c>
      <c r="AA348">
        <f t="shared" si="89"/>
        <v>2.544</v>
      </c>
      <c r="AB348" s="2">
        <f t="shared" si="90"/>
        <v>18</v>
      </c>
      <c r="AC348" s="2">
        <f t="shared" si="91"/>
        <v>12</v>
      </c>
      <c r="AD348" s="2">
        <f t="shared" si="92"/>
        <v>0</v>
      </c>
      <c r="AE348" s="2">
        <f t="shared" si="93"/>
        <v>15</v>
      </c>
      <c r="AF348" s="2">
        <f t="shared" si="94"/>
        <v>0</v>
      </c>
      <c r="AG348" s="2">
        <f t="shared" si="95"/>
        <v>0</v>
      </c>
      <c r="AH348" s="2">
        <f t="shared" si="96"/>
        <v>0</v>
      </c>
      <c r="AI348" s="1">
        <f t="shared" si="97"/>
        <v>91.584000000000003</v>
      </c>
      <c r="AJ348" s="1">
        <f t="shared" si="98"/>
        <v>152.64000000000001</v>
      </c>
      <c r="AK348" s="1" t="str">
        <f t="shared" si="99"/>
        <v/>
      </c>
      <c r="AL348" s="1">
        <f t="shared" si="100"/>
        <v>480</v>
      </c>
      <c r="AM348" s="1" t="str">
        <f t="shared" si="85"/>
        <v/>
      </c>
      <c r="AN348" s="5">
        <f t="shared" si="86"/>
        <v>0</v>
      </c>
      <c r="AO348" s="1" t="str">
        <f t="shared" si="101"/>
        <v/>
      </c>
    </row>
    <row r="349" spans="1:41">
      <c r="A349" t="s">
        <v>1238</v>
      </c>
      <c r="B349" t="s">
        <v>1224</v>
      </c>
      <c r="C349" t="s">
        <v>1239</v>
      </c>
      <c r="D349">
        <v>528</v>
      </c>
      <c r="E349">
        <v>458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 t="s">
        <v>1240</v>
      </c>
      <c r="M349" t="s">
        <v>1241</v>
      </c>
      <c r="N349" t="s">
        <v>1228</v>
      </c>
      <c r="O349">
        <v>0</v>
      </c>
      <c r="P349" t="s">
        <v>289</v>
      </c>
      <c r="Q349" t="s">
        <v>134</v>
      </c>
      <c r="R349">
        <v>10695</v>
      </c>
      <c r="S349" t="s">
        <v>1241</v>
      </c>
      <c r="U349" t="s">
        <v>290</v>
      </c>
      <c r="V349" t="s">
        <v>291</v>
      </c>
      <c r="W349">
        <v>12278169</v>
      </c>
      <c r="X349" t="s">
        <v>681</v>
      </c>
      <c r="Y349">
        <f t="shared" si="87"/>
        <v>0.24182400000000001</v>
      </c>
      <c r="Z349">
        <f t="shared" si="88"/>
        <v>1.972</v>
      </c>
      <c r="AA349">
        <f t="shared" si="89"/>
        <v>1.972</v>
      </c>
      <c r="AB349" s="2">
        <f t="shared" si="90"/>
        <v>18</v>
      </c>
      <c r="AC349" s="2">
        <f t="shared" si="91"/>
        <v>15</v>
      </c>
      <c r="AD349" s="2">
        <f t="shared" si="92"/>
        <v>0</v>
      </c>
      <c r="AE349" s="2">
        <f t="shared" si="93"/>
        <v>0</v>
      </c>
      <c r="AF349" s="2">
        <f t="shared" si="94"/>
        <v>12</v>
      </c>
      <c r="AG349" s="2">
        <f t="shared" si="95"/>
        <v>0</v>
      </c>
      <c r="AH349" s="2">
        <f t="shared" si="96"/>
        <v>0</v>
      </c>
      <c r="AI349" s="1">
        <f t="shared" si="97"/>
        <v>70.992000000000004</v>
      </c>
      <c r="AJ349" s="1">
        <f t="shared" si="98"/>
        <v>118.32</v>
      </c>
      <c r="AK349" s="1" t="str">
        <f t="shared" si="99"/>
        <v/>
      </c>
      <c r="AL349" s="1" t="str">
        <f t="shared" si="100"/>
        <v/>
      </c>
      <c r="AM349" s="1">
        <f t="shared" si="85"/>
        <v>130</v>
      </c>
      <c r="AN349" s="5">
        <f t="shared" si="86"/>
        <v>0</v>
      </c>
      <c r="AO349" s="1" t="str">
        <f t="shared" si="101"/>
        <v/>
      </c>
    </row>
    <row r="350" spans="1:41">
      <c r="A350" t="s">
        <v>1242</v>
      </c>
      <c r="B350" t="s">
        <v>1243</v>
      </c>
      <c r="C350" t="s">
        <v>1244</v>
      </c>
      <c r="D350">
        <v>798</v>
      </c>
      <c r="E350">
        <v>534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 t="s">
        <v>1245</v>
      </c>
      <c r="M350" t="s">
        <v>1246</v>
      </c>
      <c r="N350" t="s">
        <v>1247</v>
      </c>
      <c r="O350">
        <v>0</v>
      </c>
      <c r="P350" t="s">
        <v>289</v>
      </c>
      <c r="Q350" t="s">
        <v>134</v>
      </c>
      <c r="R350">
        <v>10695</v>
      </c>
      <c r="S350" t="s">
        <v>1246</v>
      </c>
      <c r="U350" t="s">
        <v>290</v>
      </c>
      <c r="V350" t="s">
        <v>291</v>
      </c>
      <c r="W350">
        <v>12278041</v>
      </c>
      <c r="X350" t="s">
        <v>680</v>
      </c>
      <c r="Y350">
        <f t="shared" si="87"/>
        <v>0.42613200000000001</v>
      </c>
      <c r="Z350">
        <f t="shared" si="88"/>
        <v>2.6640000000000001</v>
      </c>
      <c r="AA350">
        <f t="shared" si="89"/>
        <v>2.6640000000000001</v>
      </c>
      <c r="AB350" s="2">
        <f t="shared" si="90"/>
        <v>18</v>
      </c>
      <c r="AC350" s="2">
        <f t="shared" si="91"/>
        <v>15</v>
      </c>
      <c r="AD350" s="2">
        <f t="shared" si="92"/>
        <v>0</v>
      </c>
      <c r="AE350" s="2">
        <f t="shared" si="93"/>
        <v>0</v>
      </c>
      <c r="AF350" s="2">
        <f t="shared" si="94"/>
        <v>12</v>
      </c>
      <c r="AG350" s="2">
        <f t="shared" si="95"/>
        <v>0</v>
      </c>
      <c r="AH350" s="2">
        <f t="shared" si="96"/>
        <v>0</v>
      </c>
      <c r="AI350" s="1">
        <f t="shared" si="97"/>
        <v>95.904000000000011</v>
      </c>
      <c r="AJ350" s="1">
        <f t="shared" si="98"/>
        <v>159.84</v>
      </c>
      <c r="AK350" s="1" t="str">
        <f t="shared" si="99"/>
        <v/>
      </c>
      <c r="AL350" s="1" t="str">
        <f t="shared" si="100"/>
        <v/>
      </c>
      <c r="AM350" s="1">
        <f t="shared" si="85"/>
        <v>130</v>
      </c>
      <c r="AN350" s="5">
        <f t="shared" si="86"/>
        <v>0</v>
      </c>
      <c r="AO350" s="1" t="str">
        <f t="shared" si="101"/>
        <v/>
      </c>
    </row>
    <row r="351" spans="1:41">
      <c r="A351" t="s">
        <v>1248</v>
      </c>
      <c r="B351" t="s">
        <v>1243</v>
      </c>
      <c r="C351" t="s">
        <v>1249</v>
      </c>
      <c r="D351">
        <v>798</v>
      </c>
      <c r="E351">
        <v>534</v>
      </c>
      <c r="F351">
        <v>0</v>
      </c>
      <c r="G351">
        <v>1</v>
      </c>
      <c r="H351">
        <v>1</v>
      </c>
      <c r="I351">
        <v>1</v>
      </c>
      <c r="J351">
        <v>1</v>
      </c>
      <c r="K351">
        <v>1</v>
      </c>
      <c r="L351" t="s">
        <v>1250</v>
      </c>
      <c r="M351" t="s">
        <v>1251</v>
      </c>
      <c r="N351" t="s">
        <v>1247</v>
      </c>
      <c r="O351">
        <v>0</v>
      </c>
      <c r="P351" t="s">
        <v>289</v>
      </c>
      <c r="Q351" t="s">
        <v>134</v>
      </c>
      <c r="R351">
        <v>10695</v>
      </c>
      <c r="S351" t="s">
        <v>1251</v>
      </c>
      <c r="U351" t="s">
        <v>290</v>
      </c>
      <c r="V351" t="s">
        <v>291</v>
      </c>
      <c r="W351">
        <v>12278038</v>
      </c>
      <c r="X351" t="s">
        <v>680</v>
      </c>
      <c r="Y351">
        <f t="shared" si="87"/>
        <v>0.42613200000000001</v>
      </c>
      <c r="Z351">
        <f t="shared" si="88"/>
        <v>2.6640000000000001</v>
      </c>
      <c r="AA351">
        <f t="shared" si="89"/>
        <v>2.6640000000000001</v>
      </c>
      <c r="AB351" s="2">
        <f t="shared" si="90"/>
        <v>21</v>
      </c>
      <c r="AC351" s="2">
        <f t="shared" si="91"/>
        <v>15</v>
      </c>
      <c r="AD351" s="2">
        <f t="shared" si="92"/>
        <v>0</v>
      </c>
      <c r="AE351" s="2">
        <f t="shared" si="93"/>
        <v>18</v>
      </c>
      <c r="AF351" s="2">
        <f t="shared" si="94"/>
        <v>12</v>
      </c>
      <c r="AG351" s="2">
        <f t="shared" si="95"/>
        <v>0</v>
      </c>
      <c r="AH351" s="2">
        <f t="shared" si="96"/>
        <v>0</v>
      </c>
      <c r="AI351" s="1">
        <f t="shared" si="97"/>
        <v>95.904000000000011</v>
      </c>
      <c r="AJ351" s="1">
        <f t="shared" si="98"/>
        <v>159.84</v>
      </c>
      <c r="AK351" s="1" t="str">
        <f t="shared" si="99"/>
        <v/>
      </c>
      <c r="AL351" s="1">
        <f t="shared" si="100"/>
        <v>240</v>
      </c>
      <c r="AM351" s="1">
        <f t="shared" si="85"/>
        <v>130</v>
      </c>
      <c r="AN351" s="5">
        <f t="shared" si="86"/>
        <v>0</v>
      </c>
      <c r="AO351" s="1" t="str">
        <f t="shared" si="101"/>
        <v/>
      </c>
    </row>
    <row r="352" spans="1:41">
      <c r="A352" t="s">
        <v>1252</v>
      </c>
      <c r="B352" t="s">
        <v>1243</v>
      </c>
      <c r="C352" t="s">
        <v>1253</v>
      </c>
      <c r="D352">
        <v>798</v>
      </c>
      <c r="E352">
        <v>534</v>
      </c>
      <c r="F352">
        <v>0</v>
      </c>
      <c r="G352">
        <v>1</v>
      </c>
      <c r="H352">
        <v>1</v>
      </c>
      <c r="I352">
        <v>1</v>
      </c>
      <c r="J352">
        <v>1</v>
      </c>
      <c r="K352">
        <v>1</v>
      </c>
      <c r="L352" t="s">
        <v>1254</v>
      </c>
      <c r="M352" t="s">
        <v>1255</v>
      </c>
      <c r="N352" t="s">
        <v>1247</v>
      </c>
      <c r="O352">
        <v>0</v>
      </c>
      <c r="P352" t="s">
        <v>289</v>
      </c>
      <c r="Q352" t="s">
        <v>134</v>
      </c>
      <c r="R352">
        <v>10695</v>
      </c>
      <c r="S352" t="s">
        <v>1255</v>
      </c>
      <c r="U352" t="s">
        <v>290</v>
      </c>
      <c r="V352" t="s">
        <v>291</v>
      </c>
      <c r="W352">
        <v>12278146</v>
      </c>
      <c r="X352" t="s">
        <v>681</v>
      </c>
      <c r="Y352">
        <f t="shared" si="87"/>
        <v>0.42613200000000001</v>
      </c>
      <c r="Z352">
        <f t="shared" si="88"/>
        <v>2.6640000000000001</v>
      </c>
      <c r="AA352">
        <f t="shared" si="89"/>
        <v>2.6640000000000001</v>
      </c>
      <c r="AB352" s="2">
        <f t="shared" si="90"/>
        <v>15</v>
      </c>
      <c r="AC352" s="2">
        <f t="shared" si="91"/>
        <v>12</v>
      </c>
      <c r="AD352" s="2">
        <f t="shared" si="92"/>
        <v>0</v>
      </c>
      <c r="AE352" s="2">
        <f t="shared" si="93"/>
        <v>0</v>
      </c>
      <c r="AF352" s="2">
        <f t="shared" si="94"/>
        <v>9</v>
      </c>
      <c r="AG352" s="2">
        <f t="shared" si="95"/>
        <v>0</v>
      </c>
      <c r="AH352" s="2">
        <f t="shared" si="96"/>
        <v>0</v>
      </c>
      <c r="AI352" s="1">
        <f t="shared" si="97"/>
        <v>95.904000000000011</v>
      </c>
      <c r="AJ352" s="1">
        <f t="shared" si="98"/>
        <v>159.84</v>
      </c>
      <c r="AK352" s="1" t="str">
        <f t="shared" si="99"/>
        <v/>
      </c>
      <c r="AL352" s="1" t="str">
        <f t="shared" si="100"/>
        <v/>
      </c>
      <c r="AM352" s="1">
        <f t="shared" si="85"/>
        <v>130</v>
      </c>
      <c r="AN352" s="5">
        <f t="shared" si="86"/>
        <v>0</v>
      </c>
      <c r="AO352" s="1" t="str">
        <f t="shared" si="101"/>
        <v/>
      </c>
    </row>
    <row r="353" spans="1:41">
      <c r="A353" t="s">
        <v>1256</v>
      </c>
      <c r="B353" t="s">
        <v>1243</v>
      </c>
      <c r="C353" t="s">
        <v>1257</v>
      </c>
      <c r="D353">
        <v>798</v>
      </c>
      <c r="E353">
        <v>534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1</v>
      </c>
      <c r="L353" t="s">
        <v>1258</v>
      </c>
      <c r="M353" t="s">
        <v>1259</v>
      </c>
      <c r="N353" t="s">
        <v>1247</v>
      </c>
      <c r="O353">
        <v>0</v>
      </c>
      <c r="P353" t="s">
        <v>289</v>
      </c>
      <c r="Q353" t="s">
        <v>134</v>
      </c>
      <c r="R353">
        <v>10695</v>
      </c>
      <c r="S353" t="s">
        <v>1259</v>
      </c>
      <c r="U353" t="s">
        <v>290</v>
      </c>
      <c r="V353" t="s">
        <v>291</v>
      </c>
      <c r="W353">
        <v>12278149</v>
      </c>
      <c r="X353" t="s">
        <v>681</v>
      </c>
      <c r="Y353">
        <f t="shared" si="87"/>
        <v>0.42613200000000001</v>
      </c>
      <c r="Z353">
        <f t="shared" si="88"/>
        <v>2.6640000000000001</v>
      </c>
      <c r="AA353">
        <f t="shared" si="89"/>
        <v>2.6640000000000001</v>
      </c>
      <c r="AB353" s="2">
        <f t="shared" si="90"/>
        <v>15</v>
      </c>
      <c r="AC353" s="2">
        <f t="shared" si="91"/>
        <v>12</v>
      </c>
      <c r="AD353" s="2">
        <f t="shared" si="92"/>
        <v>0</v>
      </c>
      <c r="AE353" s="2">
        <f t="shared" si="93"/>
        <v>0</v>
      </c>
      <c r="AF353" s="2">
        <f t="shared" si="94"/>
        <v>9</v>
      </c>
      <c r="AG353" s="2">
        <f t="shared" si="95"/>
        <v>0</v>
      </c>
      <c r="AH353" s="2">
        <f t="shared" si="96"/>
        <v>0</v>
      </c>
      <c r="AI353" s="1">
        <f t="shared" si="97"/>
        <v>95.904000000000011</v>
      </c>
      <c r="AJ353" s="1">
        <f t="shared" si="98"/>
        <v>159.84</v>
      </c>
      <c r="AK353" s="1" t="str">
        <f t="shared" si="99"/>
        <v/>
      </c>
      <c r="AL353" s="1" t="str">
        <f t="shared" si="100"/>
        <v/>
      </c>
      <c r="AM353" s="1">
        <f t="shared" si="85"/>
        <v>130</v>
      </c>
      <c r="AN353" s="5">
        <f t="shared" si="86"/>
        <v>0</v>
      </c>
      <c r="AO353" s="1" t="str">
        <f t="shared" si="101"/>
        <v/>
      </c>
    </row>
    <row r="354" spans="1:41">
      <c r="A354" t="s">
        <v>1260</v>
      </c>
      <c r="B354" t="s">
        <v>1243</v>
      </c>
      <c r="C354" t="s">
        <v>1261</v>
      </c>
      <c r="D354">
        <v>536</v>
      </c>
      <c r="E354">
        <v>466</v>
      </c>
      <c r="F354">
        <v>0</v>
      </c>
      <c r="G354">
        <v>1</v>
      </c>
      <c r="L354" t="s">
        <v>1262</v>
      </c>
      <c r="M354" t="s">
        <v>1263</v>
      </c>
      <c r="N354" t="s">
        <v>1264</v>
      </c>
      <c r="O354">
        <v>0</v>
      </c>
      <c r="P354" t="s">
        <v>289</v>
      </c>
      <c r="Q354" t="s">
        <v>134</v>
      </c>
      <c r="R354">
        <v>10695</v>
      </c>
      <c r="S354" t="s">
        <v>1263</v>
      </c>
      <c r="U354" t="s">
        <v>290</v>
      </c>
      <c r="V354" t="s">
        <v>291</v>
      </c>
      <c r="W354">
        <v>12278044</v>
      </c>
      <c r="X354" t="s">
        <v>680</v>
      </c>
      <c r="Y354">
        <f t="shared" si="87"/>
        <v>0.249776</v>
      </c>
      <c r="Z354">
        <f t="shared" si="88"/>
        <v>2.004</v>
      </c>
      <c r="AA354">
        <f t="shared" si="89"/>
        <v>0</v>
      </c>
      <c r="AB354" s="2">
        <f t="shared" si="90"/>
        <v>12</v>
      </c>
      <c r="AC354" s="2">
        <f t="shared" si="91"/>
        <v>0</v>
      </c>
      <c r="AD354" s="2">
        <f t="shared" si="92"/>
        <v>0</v>
      </c>
      <c r="AE354" s="2">
        <f t="shared" si="93"/>
        <v>0</v>
      </c>
      <c r="AF354" s="2">
        <f t="shared" si="94"/>
        <v>9</v>
      </c>
      <c r="AG354" s="2">
        <f t="shared" si="95"/>
        <v>0</v>
      </c>
      <c r="AH354" s="2">
        <f t="shared" si="96"/>
        <v>0</v>
      </c>
      <c r="AI354" s="1">
        <f t="shared" si="97"/>
        <v>72.144000000000005</v>
      </c>
      <c r="AJ354" s="1">
        <f t="shared" si="98"/>
        <v>0</v>
      </c>
      <c r="AK354" s="1" t="str">
        <f t="shared" si="99"/>
        <v/>
      </c>
      <c r="AL354" s="1" t="str">
        <f t="shared" si="100"/>
        <v/>
      </c>
      <c r="AM354" s="1">
        <f t="shared" si="85"/>
        <v>130</v>
      </c>
      <c r="AN354" s="5">
        <f t="shared" si="86"/>
        <v>0</v>
      </c>
      <c r="AO354" s="1" t="str">
        <f t="shared" si="101"/>
        <v/>
      </c>
    </row>
    <row r="355" spans="1:41">
      <c r="A355" t="s">
        <v>1265</v>
      </c>
      <c r="B355" t="s">
        <v>1243</v>
      </c>
      <c r="C355" t="s">
        <v>1266</v>
      </c>
      <c r="D355">
        <v>536</v>
      </c>
      <c r="E355">
        <v>466</v>
      </c>
      <c r="F355">
        <v>0</v>
      </c>
      <c r="G355">
        <v>1</v>
      </c>
      <c r="L355" t="s">
        <v>1267</v>
      </c>
      <c r="M355" t="s">
        <v>1268</v>
      </c>
      <c r="N355" t="s">
        <v>1264</v>
      </c>
      <c r="O355">
        <v>0</v>
      </c>
      <c r="P355" t="s">
        <v>289</v>
      </c>
      <c r="Q355" t="s">
        <v>134</v>
      </c>
      <c r="R355">
        <v>10695</v>
      </c>
      <c r="S355" t="s">
        <v>1268</v>
      </c>
      <c r="U355" t="s">
        <v>290</v>
      </c>
      <c r="V355" t="s">
        <v>291</v>
      </c>
      <c r="W355">
        <v>12278144</v>
      </c>
      <c r="X355" t="s">
        <v>681</v>
      </c>
      <c r="Y355">
        <f t="shared" si="87"/>
        <v>0.249776</v>
      </c>
      <c r="Z355">
        <f t="shared" si="88"/>
        <v>2.004</v>
      </c>
      <c r="AA355">
        <f t="shared" si="89"/>
        <v>0</v>
      </c>
      <c r="AB355" s="2">
        <f t="shared" si="90"/>
        <v>12</v>
      </c>
      <c r="AC355" s="2">
        <f t="shared" si="91"/>
        <v>0</v>
      </c>
      <c r="AD355" s="2">
        <f t="shared" si="92"/>
        <v>0</v>
      </c>
      <c r="AE355" s="2">
        <f t="shared" si="93"/>
        <v>0</v>
      </c>
      <c r="AF355" s="2">
        <f t="shared" si="94"/>
        <v>9</v>
      </c>
      <c r="AG355" s="2">
        <f t="shared" si="95"/>
        <v>0</v>
      </c>
      <c r="AH355" s="2">
        <f t="shared" si="96"/>
        <v>0</v>
      </c>
      <c r="AI355" s="1">
        <f t="shared" si="97"/>
        <v>72.144000000000005</v>
      </c>
      <c r="AJ355" s="1">
        <f t="shared" si="98"/>
        <v>0</v>
      </c>
      <c r="AK355" s="1" t="str">
        <f t="shared" si="99"/>
        <v/>
      </c>
      <c r="AL355" s="1" t="str">
        <f t="shared" si="100"/>
        <v/>
      </c>
      <c r="AM355" s="1">
        <f t="shared" si="85"/>
        <v>130</v>
      </c>
      <c r="AN355" s="5">
        <f t="shared" si="86"/>
        <v>0</v>
      </c>
      <c r="AO355" s="1" t="str">
        <f t="shared" si="101"/>
        <v/>
      </c>
    </row>
    <row r="356" spans="1:41">
      <c r="A356" t="s">
        <v>1269</v>
      </c>
      <c r="B356" t="s">
        <v>1270</v>
      </c>
      <c r="C356" t="s">
        <v>1271</v>
      </c>
      <c r="D356">
        <v>1303</v>
      </c>
      <c r="E356">
        <v>603</v>
      </c>
      <c r="F356">
        <v>1</v>
      </c>
      <c r="G356">
        <v>3</v>
      </c>
      <c r="L356" t="s">
        <v>1272</v>
      </c>
      <c r="M356" t="s">
        <v>1273</v>
      </c>
      <c r="N356" t="s">
        <v>1274</v>
      </c>
      <c r="O356">
        <v>0</v>
      </c>
      <c r="P356" t="s">
        <v>373</v>
      </c>
      <c r="Q356" t="s">
        <v>374</v>
      </c>
      <c r="R356">
        <v>3136</v>
      </c>
      <c r="S356" t="s">
        <v>1273</v>
      </c>
      <c r="U356" t="s">
        <v>83</v>
      </c>
      <c r="V356" t="s">
        <v>375</v>
      </c>
      <c r="W356">
        <v>12276823</v>
      </c>
      <c r="X356" t="s">
        <v>526</v>
      </c>
      <c r="Y356">
        <f t="shared" si="87"/>
        <v>2.3571270000000002</v>
      </c>
      <c r="Z356">
        <f t="shared" si="88"/>
        <v>11.436</v>
      </c>
      <c r="AA356">
        <f t="shared" si="89"/>
        <v>0</v>
      </c>
      <c r="AB356" s="2">
        <f t="shared" si="90"/>
        <v>36</v>
      </c>
      <c r="AC356" s="2">
        <f t="shared" si="91"/>
        <v>0</v>
      </c>
      <c r="AD356" s="2">
        <f t="shared" si="92"/>
        <v>0</v>
      </c>
      <c r="AE356" s="2">
        <f t="shared" si="93"/>
        <v>29</v>
      </c>
      <c r="AF356" s="2">
        <f t="shared" si="94"/>
        <v>15</v>
      </c>
      <c r="AG356" s="2">
        <f t="shared" si="95"/>
        <v>22</v>
      </c>
      <c r="AH356" s="2">
        <f t="shared" si="96"/>
        <v>0</v>
      </c>
      <c r="AI356" s="1">
        <f t="shared" si="97"/>
        <v>411.69600000000003</v>
      </c>
      <c r="AJ356" s="1">
        <f t="shared" si="98"/>
        <v>0</v>
      </c>
      <c r="AK356" s="1" t="str">
        <f t="shared" si="99"/>
        <v/>
      </c>
      <c r="AL356" s="1">
        <f t="shared" si="100"/>
        <v>720</v>
      </c>
      <c r="AM356" s="1">
        <f t="shared" si="85"/>
        <v>390</v>
      </c>
      <c r="AN356" s="5">
        <f t="shared" si="86"/>
        <v>5437.2542220000005</v>
      </c>
      <c r="AO356" s="1" t="str">
        <f t="shared" si="101"/>
        <v/>
      </c>
    </row>
    <row r="357" spans="1:41">
      <c r="A357" t="s">
        <v>1275</v>
      </c>
      <c r="B357" t="s">
        <v>1270</v>
      </c>
      <c r="C357" t="s">
        <v>1276</v>
      </c>
      <c r="D357">
        <v>1303</v>
      </c>
      <c r="E357">
        <v>603</v>
      </c>
      <c r="F357">
        <v>1</v>
      </c>
      <c r="G357">
        <v>3</v>
      </c>
      <c r="L357" t="s">
        <v>1272</v>
      </c>
      <c r="M357" t="s">
        <v>1273</v>
      </c>
      <c r="N357" t="s">
        <v>1274</v>
      </c>
      <c r="O357">
        <v>0</v>
      </c>
      <c r="P357" t="s">
        <v>378</v>
      </c>
      <c r="Q357" t="s">
        <v>374</v>
      </c>
      <c r="R357">
        <v>3136</v>
      </c>
      <c r="S357" t="s">
        <v>1273</v>
      </c>
      <c r="U357" t="s">
        <v>83</v>
      </c>
      <c r="V357" t="s">
        <v>375</v>
      </c>
      <c r="W357">
        <v>12277008</v>
      </c>
      <c r="X357" t="s">
        <v>529</v>
      </c>
      <c r="Y357">
        <f t="shared" si="87"/>
        <v>2.3571270000000002</v>
      </c>
      <c r="Z357">
        <f t="shared" si="88"/>
        <v>11.436</v>
      </c>
      <c r="AA357">
        <f t="shared" si="89"/>
        <v>0</v>
      </c>
      <c r="AB357" s="2">
        <f t="shared" si="90"/>
        <v>39</v>
      </c>
      <c r="AC357" s="2">
        <f t="shared" si="91"/>
        <v>0</v>
      </c>
      <c r="AD357" s="2">
        <f t="shared" si="92"/>
        <v>0</v>
      </c>
      <c r="AE357" s="2">
        <f t="shared" si="93"/>
        <v>32</v>
      </c>
      <c r="AF357" s="2">
        <f t="shared" si="94"/>
        <v>15</v>
      </c>
      <c r="AG357" s="2">
        <f t="shared" si="95"/>
        <v>25</v>
      </c>
      <c r="AH357" s="2">
        <f t="shared" si="96"/>
        <v>0</v>
      </c>
      <c r="AI357" s="1">
        <f t="shared" si="97"/>
        <v>411.69600000000003</v>
      </c>
      <c r="AJ357" s="1">
        <f t="shared" si="98"/>
        <v>0</v>
      </c>
      <c r="AK357" s="1" t="str">
        <f t="shared" si="99"/>
        <v/>
      </c>
      <c r="AL357" s="1">
        <f t="shared" si="100"/>
        <v>720</v>
      </c>
      <c r="AM357" s="1">
        <f t="shared" si="85"/>
        <v>390</v>
      </c>
      <c r="AN357" s="5">
        <f t="shared" si="86"/>
        <v>5437.2542220000005</v>
      </c>
      <c r="AO357" s="1" t="str">
        <f t="shared" si="101"/>
        <v/>
      </c>
    </row>
    <row r="358" spans="1:41">
      <c r="A358" t="s">
        <v>1277</v>
      </c>
      <c r="B358" t="s">
        <v>1270</v>
      </c>
      <c r="C358" t="s">
        <v>1278</v>
      </c>
      <c r="D358">
        <v>1303</v>
      </c>
      <c r="E358">
        <v>603</v>
      </c>
      <c r="F358">
        <v>1</v>
      </c>
      <c r="G358">
        <v>3</v>
      </c>
      <c r="L358" t="s">
        <v>1272</v>
      </c>
      <c r="M358" t="s">
        <v>1273</v>
      </c>
      <c r="N358" t="s">
        <v>1274</v>
      </c>
      <c r="O358">
        <v>0</v>
      </c>
      <c r="P358" t="s">
        <v>533</v>
      </c>
      <c r="Q358" t="s">
        <v>374</v>
      </c>
      <c r="R358">
        <v>3136</v>
      </c>
      <c r="S358" t="s">
        <v>1273</v>
      </c>
      <c r="U358" t="s">
        <v>83</v>
      </c>
      <c r="V358" t="s">
        <v>463</v>
      </c>
      <c r="W358">
        <v>12277556</v>
      </c>
      <c r="X358" t="s">
        <v>533</v>
      </c>
      <c r="Y358">
        <f t="shared" si="87"/>
        <v>2.3571270000000002</v>
      </c>
      <c r="Z358">
        <f t="shared" si="88"/>
        <v>11.436</v>
      </c>
      <c r="AA358">
        <f t="shared" si="89"/>
        <v>0</v>
      </c>
      <c r="AB358" s="2">
        <f t="shared" si="90"/>
        <v>32</v>
      </c>
      <c r="AC358" s="2">
        <f t="shared" si="91"/>
        <v>0</v>
      </c>
      <c r="AD358" s="2">
        <f t="shared" si="92"/>
        <v>0</v>
      </c>
      <c r="AE358" s="2">
        <f t="shared" si="93"/>
        <v>25</v>
      </c>
      <c r="AF358" s="2">
        <f t="shared" si="94"/>
        <v>8</v>
      </c>
      <c r="AG358" s="2">
        <f t="shared" si="95"/>
        <v>18</v>
      </c>
      <c r="AH358" s="2">
        <f t="shared" si="96"/>
        <v>0</v>
      </c>
      <c r="AI358" s="1">
        <f t="shared" si="97"/>
        <v>411.69600000000003</v>
      </c>
      <c r="AJ358" s="1">
        <f t="shared" si="98"/>
        <v>0</v>
      </c>
      <c r="AK358" s="1" t="str">
        <f t="shared" si="99"/>
        <v/>
      </c>
      <c r="AL358" s="1">
        <f t="shared" si="100"/>
        <v>720</v>
      </c>
      <c r="AM358" s="1">
        <f t="shared" si="85"/>
        <v>390</v>
      </c>
      <c r="AN358" s="5">
        <f t="shared" si="86"/>
        <v>5437.2542220000005</v>
      </c>
      <c r="AO358" s="1" t="str">
        <f t="shared" si="101"/>
        <v/>
      </c>
    </row>
    <row r="359" spans="1:41">
      <c r="A359" t="s">
        <v>1279</v>
      </c>
      <c r="B359" t="s">
        <v>1270</v>
      </c>
      <c r="C359" t="s">
        <v>1280</v>
      </c>
      <c r="D359">
        <v>1303</v>
      </c>
      <c r="E359">
        <v>603</v>
      </c>
      <c r="F359">
        <v>1</v>
      </c>
      <c r="G359">
        <v>2</v>
      </c>
      <c r="L359" t="s">
        <v>1272</v>
      </c>
      <c r="M359" t="s">
        <v>1273</v>
      </c>
      <c r="N359" t="s">
        <v>1274</v>
      </c>
      <c r="O359">
        <v>0</v>
      </c>
      <c r="P359" t="s">
        <v>536</v>
      </c>
      <c r="Q359" t="s">
        <v>374</v>
      </c>
      <c r="R359">
        <v>3136</v>
      </c>
      <c r="S359" t="s">
        <v>1273</v>
      </c>
      <c r="U359" t="s">
        <v>83</v>
      </c>
      <c r="V359" t="s">
        <v>463</v>
      </c>
      <c r="W359">
        <v>12279200</v>
      </c>
      <c r="X359" t="s">
        <v>536</v>
      </c>
      <c r="Y359">
        <f t="shared" si="87"/>
        <v>1.571418</v>
      </c>
      <c r="Z359">
        <f t="shared" si="88"/>
        <v>7.6239999999999997</v>
      </c>
      <c r="AA359">
        <f t="shared" si="89"/>
        <v>0</v>
      </c>
      <c r="AB359" s="2">
        <f t="shared" si="90"/>
        <v>32</v>
      </c>
      <c r="AC359" s="2">
        <f t="shared" si="91"/>
        <v>0</v>
      </c>
      <c r="AD359" s="2">
        <f t="shared" si="92"/>
        <v>0</v>
      </c>
      <c r="AE359" s="2">
        <f t="shared" si="93"/>
        <v>25</v>
      </c>
      <c r="AF359" s="2">
        <f t="shared" si="94"/>
        <v>8</v>
      </c>
      <c r="AG359" s="2">
        <f t="shared" si="95"/>
        <v>18</v>
      </c>
      <c r="AH359" s="2">
        <f t="shared" si="96"/>
        <v>0</v>
      </c>
      <c r="AI359" s="1">
        <f t="shared" si="97"/>
        <v>274.464</v>
      </c>
      <c r="AJ359" s="1">
        <f t="shared" si="98"/>
        <v>0</v>
      </c>
      <c r="AK359" s="1" t="str">
        <f t="shared" si="99"/>
        <v/>
      </c>
      <c r="AL359" s="1">
        <f t="shared" si="100"/>
        <v>480</v>
      </c>
      <c r="AM359" s="1">
        <f t="shared" si="85"/>
        <v>260</v>
      </c>
      <c r="AN359" s="5">
        <f t="shared" si="86"/>
        <v>2584.5574320000001</v>
      </c>
      <c r="AO359" s="1" t="str">
        <f t="shared" si="101"/>
        <v/>
      </c>
    </row>
    <row r="360" spans="1:41">
      <c r="A360" t="s">
        <v>1281</v>
      </c>
      <c r="B360" t="s">
        <v>1282</v>
      </c>
      <c r="C360" t="s">
        <v>1283</v>
      </c>
      <c r="D360">
        <v>682</v>
      </c>
      <c r="E360">
        <v>576</v>
      </c>
      <c r="F360">
        <v>1</v>
      </c>
      <c r="G360">
        <v>2</v>
      </c>
      <c r="H360">
        <v>1</v>
      </c>
      <c r="I360">
        <v>1</v>
      </c>
      <c r="J360">
        <v>1</v>
      </c>
      <c r="L360" t="s">
        <v>1284</v>
      </c>
      <c r="M360" t="s">
        <v>1285</v>
      </c>
      <c r="N360" t="s">
        <v>942</v>
      </c>
      <c r="O360">
        <v>0</v>
      </c>
      <c r="P360" t="s">
        <v>962</v>
      </c>
      <c r="Q360" t="s">
        <v>134</v>
      </c>
      <c r="R360">
        <v>10695</v>
      </c>
      <c r="S360" t="s">
        <v>1285</v>
      </c>
      <c r="U360" t="s">
        <v>963</v>
      </c>
      <c r="V360" t="s">
        <v>964</v>
      </c>
      <c r="W360">
        <v>12276304</v>
      </c>
      <c r="X360" t="s">
        <v>965</v>
      </c>
      <c r="Y360">
        <f t="shared" si="87"/>
        <v>0.78566400000000003</v>
      </c>
      <c r="Z360">
        <f t="shared" si="88"/>
        <v>5.032</v>
      </c>
      <c r="AA360">
        <f t="shared" si="89"/>
        <v>3.88</v>
      </c>
      <c r="AB360" s="2">
        <f t="shared" si="90"/>
        <v>33</v>
      </c>
      <c r="AC360" s="2">
        <f t="shared" si="91"/>
        <v>27</v>
      </c>
      <c r="AD360" s="2">
        <f t="shared" si="92"/>
        <v>0</v>
      </c>
      <c r="AE360" s="2">
        <f t="shared" si="93"/>
        <v>0</v>
      </c>
      <c r="AF360" s="2">
        <f t="shared" si="94"/>
        <v>21</v>
      </c>
      <c r="AG360" s="2">
        <f t="shared" si="95"/>
        <v>0</v>
      </c>
      <c r="AH360" s="2">
        <f t="shared" si="96"/>
        <v>0</v>
      </c>
      <c r="AI360" s="1">
        <f t="shared" si="97"/>
        <v>181.15199999999999</v>
      </c>
      <c r="AJ360" s="1">
        <f t="shared" si="98"/>
        <v>232.79999999999998</v>
      </c>
      <c r="AK360" s="1" t="str">
        <f t="shared" si="99"/>
        <v/>
      </c>
      <c r="AL360" s="1" t="str">
        <f t="shared" si="100"/>
        <v/>
      </c>
      <c r="AM360" s="1">
        <f t="shared" si="85"/>
        <v>260</v>
      </c>
      <c r="AN360" s="5">
        <f t="shared" si="86"/>
        <v>0</v>
      </c>
      <c r="AO360" s="1" t="str">
        <f t="shared" si="101"/>
        <v/>
      </c>
    </row>
    <row r="361" spans="1:41">
      <c r="A361" t="s">
        <v>1286</v>
      </c>
      <c r="B361" t="s">
        <v>1282</v>
      </c>
      <c r="C361" t="s">
        <v>1287</v>
      </c>
      <c r="D361">
        <v>2096</v>
      </c>
      <c r="E361">
        <v>1025</v>
      </c>
      <c r="F361">
        <v>1</v>
      </c>
      <c r="G361">
        <v>1</v>
      </c>
      <c r="J361">
        <v>1</v>
      </c>
      <c r="K361">
        <v>1</v>
      </c>
      <c r="L361" t="s">
        <v>1288</v>
      </c>
      <c r="M361" t="s">
        <v>1289</v>
      </c>
      <c r="N361" t="s">
        <v>942</v>
      </c>
      <c r="O361">
        <v>0</v>
      </c>
      <c r="P361" t="s">
        <v>962</v>
      </c>
      <c r="Q361" t="s">
        <v>134</v>
      </c>
      <c r="R361">
        <v>10695</v>
      </c>
      <c r="S361" t="s">
        <v>1289</v>
      </c>
      <c r="U361" t="s">
        <v>963</v>
      </c>
      <c r="V361" t="s">
        <v>964</v>
      </c>
      <c r="W361">
        <v>12276320</v>
      </c>
      <c r="X361" t="s">
        <v>1290</v>
      </c>
      <c r="Y361">
        <f t="shared" si="87"/>
        <v>2.1484000000000001</v>
      </c>
      <c r="Z361">
        <f t="shared" si="88"/>
        <v>6.242</v>
      </c>
      <c r="AA361">
        <f t="shared" si="89"/>
        <v>2.0499999999999998</v>
      </c>
      <c r="AB361" s="2">
        <f t="shared" si="90"/>
        <v>51</v>
      </c>
      <c r="AC361" s="2">
        <f t="shared" si="91"/>
        <v>21</v>
      </c>
      <c r="AD361" s="2">
        <f t="shared" si="92"/>
        <v>33</v>
      </c>
      <c r="AE361" s="2">
        <f t="shared" si="93"/>
        <v>0</v>
      </c>
      <c r="AF361" s="2">
        <f t="shared" si="94"/>
        <v>0</v>
      </c>
      <c r="AG361" s="2">
        <f t="shared" si="95"/>
        <v>0</v>
      </c>
      <c r="AH361" s="2">
        <f t="shared" si="96"/>
        <v>0</v>
      </c>
      <c r="AI361" s="1">
        <f t="shared" si="97"/>
        <v>224.71199999999999</v>
      </c>
      <c r="AJ361" s="1">
        <f t="shared" si="98"/>
        <v>122.99999999999999</v>
      </c>
      <c r="AK361" s="1">
        <f t="shared" si="99"/>
        <v>220</v>
      </c>
      <c r="AL361" s="1" t="str">
        <f t="shared" si="100"/>
        <v/>
      </c>
      <c r="AM361" s="3" t="str">
        <f t="shared" si="85"/>
        <v/>
      </c>
      <c r="AN361" s="5">
        <f t="shared" si="86"/>
        <v>0</v>
      </c>
      <c r="AO361" s="1" t="str">
        <f t="shared" si="101"/>
        <v/>
      </c>
    </row>
    <row r="362" spans="1:41">
      <c r="A362" t="s">
        <v>1291</v>
      </c>
      <c r="B362" t="s">
        <v>1292</v>
      </c>
      <c r="C362" t="s">
        <v>1293</v>
      </c>
      <c r="D362">
        <v>2090</v>
      </c>
      <c r="E362">
        <v>686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 t="s">
        <v>1294</v>
      </c>
      <c r="M362" t="s">
        <v>89</v>
      </c>
      <c r="N362" t="s">
        <v>1228</v>
      </c>
      <c r="O362">
        <v>0</v>
      </c>
      <c r="P362" t="s">
        <v>271</v>
      </c>
      <c r="Q362" t="s">
        <v>134</v>
      </c>
      <c r="R362">
        <v>10695</v>
      </c>
      <c r="S362" t="s">
        <v>89</v>
      </c>
      <c r="U362" t="s">
        <v>272</v>
      </c>
      <c r="V362" t="s">
        <v>273</v>
      </c>
      <c r="W362">
        <v>12277848</v>
      </c>
      <c r="X362" t="s">
        <v>1295</v>
      </c>
      <c r="Y362">
        <f t="shared" si="87"/>
        <v>1.43374</v>
      </c>
      <c r="Z362">
        <f t="shared" si="88"/>
        <v>5.5519999999999996</v>
      </c>
      <c r="AA362">
        <f t="shared" si="89"/>
        <v>5.5519999999999996</v>
      </c>
      <c r="AB362" s="2">
        <f t="shared" si="90"/>
        <v>24</v>
      </c>
      <c r="AC362" s="2">
        <f t="shared" si="91"/>
        <v>21</v>
      </c>
      <c r="AD362" s="2">
        <f t="shared" si="92"/>
        <v>0</v>
      </c>
      <c r="AE362" s="2">
        <f t="shared" si="93"/>
        <v>0</v>
      </c>
      <c r="AF362" s="2">
        <f t="shared" si="94"/>
        <v>15</v>
      </c>
      <c r="AG362" s="2">
        <f t="shared" si="95"/>
        <v>0</v>
      </c>
      <c r="AH362" s="2">
        <f t="shared" si="96"/>
        <v>0</v>
      </c>
      <c r="AI362" s="1">
        <f t="shared" si="97"/>
        <v>199.87199999999999</v>
      </c>
      <c r="AJ362" s="1">
        <f t="shared" si="98"/>
        <v>333.12</v>
      </c>
      <c r="AK362" s="1" t="str">
        <f t="shared" si="99"/>
        <v/>
      </c>
      <c r="AL362" s="1" t="str">
        <f t="shared" si="100"/>
        <v/>
      </c>
      <c r="AM362" s="1">
        <f t="shared" si="85"/>
        <v>130</v>
      </c>
      <c r="AN362" s="5">
        <f t="shared" si="86"/>
        <v>0</v>
      </c>
      <c r="AO362" s="1" t="str">
        <f t="shared" si="101"/>
        <v/>
      </c>
    </row>
    <row r="363" spans="1:41">
      <c r="A363" t="s">
        <v>1296</v>
      </c>
      <c r="B363" t="s">
        <v>1292</v>
      </c>
      <c r="C363" t="s">
        <v>1297</v>
      </c>
      <c r="D363">
        <v>1692</v>
      </c>
      <c r="E363">
        <v>686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1</v>
      </c>
      <c r="L363" t="s">
        <v>1298</v>
      </c>
      <c r="M363" t="s">
        <v>1299</v>
      </c>
      <c r="N363" t="s">
        <v>1228</v>
      </c>
      <c r="O363">
        <v>0</v>
      </c>
      <c r="P363" t="s">
        <v>271</v>
      </c>
      <c r="Q363" t="s">
        <v>134</v>
      </c>
      <c r="R363">
        <v>10695</v>
      </c>
      <c r="S363" t="s">
        <v>1299</v>
      </c>
      <c r="U363" t="s">
        <v>272</v>
      </c>
      <c r="V363" t="s">
        <v>273</v>
      </c>
      <c r="W363">
        <v>12277865</v>
      </c>
      <c r="X363" t="s">
        <v>1300</v>
      </c>
      <c r="Y363">
        <f t="shared" si="87"/>
        <v>1.160712</v>
      </c>
      <c r="Z363">
        <f t="shared" si="88"/>
        <v>4.7560000000000002</v>
      </c>
      <c r="AA363">
        <f t="shared" si="89"/>
        <v>4.7560000000000002</v>
      </c>
      <c r="AB363" s="2">
        <f t="shared" si="90"/>
        <v>24</v>
      </c>
      <c r="AC363" s="2">
        <f t="shared" si="91"/>
        <v>21</v>
      </c>
      <c r="AD363" s="2">
        <f t="shared" si="92"/>
        <v>0</v>
      </c>
      <c r="AE363" s="2">
        <f t="shared" si="93"/>
        <v>0</v>
      </c>
      <c r="AF363" s="2">
        <f t="shared" si="94"/>
        <v>15</v>
      </c>
      <c r="AG363" s="2">
        <f t="shared" si="95"/>
        <v>0</v>
      </c>
      <c r="AH363" s="2">
        <f t="shared" si="96"/>
        <v>0</v>
      </c>
      <c r="AI363" s="1">
        <f t="shared" si="97"/>
        <v>171.21600000000001</v>
      </c>
      <c r="AJ363" s="1">
        <f t="shared" si="98"/>
        <v>285.36</v>
      </c>
      <c r="AK363" s="1" t="str">
        <f t="shared" si="99"/>
        <v/>
      </c>
      <c r="AL363" s="1" t="str">
        <f t="shared" si="100"/>
        <v/>
      </c>
      <c r="AM363" s="1">
        <f t="shared" si="85"/>
        <v>130</v>
      </c>
      <c r="AN363" s="5">
        <f t="shared" si="86"/>
        <v>0</v>
      </c>
      <c r="AO363" s="1" t="str">
        <f t="shared" si="101"/>
        <v/>
      </c>
    </row>
    <row r="364" spans="1:41">
      <c r="A364" t="s">
        <v>1301</v>
      </c>
      <c r="B364" t="s">
        <v>1302</v>
      </c>
      <c r="C364" t="s">
        <v>1303</v>
      </c>
      <c r="D364">
        <v>872</v>
      </c>
      <c r="E364">
        <v>350</v>
      </c>
      <c r="F364">
        <v>1</v>
      </c>
      <c r="G364">
        <v>1</v>
      </c>
      <c r="L364" t="s">
        <v>1304</v>
      </c>
      <c r="M364" t="s">
        <v>1305</v>
      </c>
      <c r="N364" t="s">
        <v>942</v>
      </c>
      <c r="O364">
        <v>0</v>
      </c>
      <c r="P364" t="s">
        <v>289</v>
      </c>
      <c r="Q364" t="s">
        <v>134</v>
      </c>
      <c r="R364">
        <v>10695</v>
      </c>
      <c r="S364" t="s">
        <v>1305</v>
      </c>
      <c r="U364" t="s">
        <v>290</v>
      </c>
      <c r="V364" t="s">
        <v>291</v>
      </c>
      <c r="W364">
        <v>12278126</v>
      </c>
      <c r="X364" t="s">
        <v>685</v>
      </c>
      <c r="Y364">
        <f t="shared" si="87"/>
        <v>0.30520000000000003</v>
      </c>
      <c r="Z364">
        <f t="shared" si="88"/>
        <v>2.444</v>
      </c>
      <c r="AA364">
        <f t="shared" si="89"/>
        <v>0</v>
      </c>
      <c r="AB364" s="2">
        <f t="shared" si="90"/>
        <v>12</v>
      </c>
      <c r="AC364" s="2">
        <f t="shared" si="91"/>
        <v>0</v>
      </c>
      <c r="AD364" s="2">
        <f t="shared" si="92"/>
        <v>0</v>
      </c>
      <c r="AE364" s="2">
        <f t="shared" si="93"/>
        <v>9</v>
      </c>
      <c r="AF364" s="2">
        <f t="shared" si="94"/>
        <v>0</v>
      </c>
      <c r="AG364" s="2">
        <f t="shared" si="95"/>
        <v>0</v>
      </c>
      <c r="AH364" s="2">
        <f t="shared" si="96"/>
        <v>0</v>
      </c>
      <c r="AI364" s="1">
        <f t="shared" si="97"/>
        <v>87.983999999999995</v>
      </c>
      <c r="AJ364" s="1">
        <f t="shared" si="98"/>
        <v>0</v>
      </c>
      <c r="AK364" s="1" t="str">
        <f t="shared" si="99"/>
        <v/>
      </c>
      <c r="AL364" s="1">
        <f t="shared" si="100"/>
        <v>240</v>
      </c>
      <c r="AM364" s="1" t="str">
        <f t="shared" si="85"/>
        <v/>
      </c>
      <c r="AN364" s="5">
        <f t="shared" si="86"/>
        <v>0</v>
      </c>
      <c r="AO364" s="1" t="str">
        <f t="shared" si="101"/>
        <v/>
      </c>
    </row>
    <row r="365" spans="1:41">
      <c r="A365" t="s">
        <v>1306</v>
      </c>
      <c r="B365" t="s">
        <v>1307</v>
      </c>
      <c r="C365" t="s">
        <v>1308</v>
      </c>
      <c r="D365">
        <v>410</v>
      </c>
      <c r="E365">
        <v>391</v>
      </c>
      <c r="F365">
        <v>0</v>
      </c>
      <c r="G365">
        <v>3</v>
      </c>
      <c r="L365" t="s">
        <v>1309</v>
      </c>
      <c r="M365" t="s">
        <v>1310</v>
      </c>
      <c r="N365" t="s">
        <v>1311</v>
      </c>
      <c r="O365">
        <v>0</v>
      </c>
      <c r="P365" t="s">
        <v>104</v>
      </c>
      <c r="Q365" t="s">
        <v>82</v>
      </c>
      <c r="R365">
        <v>10641</v>
      </c>
      <c r="S365" t="s">
        <v>1310</v>
      </c>
      <c r="U365" t="s">
        <v>105</v>
      </c>
      <c r="V365" t="s">
        <v>106</v>
      </c>
      <c r="W365">
        <v>12279303</v>
      </c>
      <c r="X365" t="s">
        <v>104</v>
      </c>
      <c r="Y365">
        <f t="shared" si="87"/>
        <v>0.48093000000000002</v>
      </c>
      <c r="Z365">
        <f t="shared" si="88"/>
        <v>4.806</v>
      </c>
      <c r="AA365">
        <f t="shared" si="89"/>
        <v>0</v>
      </c>
      <c r="AB365" s="2">
        <f t="shared" si="90"/>
        <v>9</v>
      </c>
      <c r="AC365" s="2">
        <f t="shared" si="91"/>
        <v>0</v>
      </c>
      <c r="AD365" s="2">
        <f t="shared" si="92"/>
        <v>0</v>
      </c>
      <c r="AE365" s="2">
        <f t="shared" si="93"/>
        <v>0</v>
      </c>
      <c r="AF365" s="2">
        <f t="shared" si="94"/>
        <v>0</v>
      </c>
      <c r="AG365" s="2">
        <f t="shared" si="95"/>
        <v>0</v>
      </c>
      <c r="AH365" s="2">
        <f t="shared" si="96"/>
        <v>0</v>
      </c>
      <c r="AI365" s="1">
        <f t="shared" si="97"/>
        <v>173.01599999999999</v>
      </c>
      <c r="AJ365" s="1">
        <f t="shared" si="98"/>
        <v>0</v>
      </c>
      <c r="AK365" s="1" t="str">
        <f t="shared" si="99"/>
        <v/>
      </c>
      <c r="AL365" s="1" t="str">
        <f t="shared" si="100"/>
        <v/>
      </c>
      <c r="AM365" s="1" t="str">
        <f t="shared" si="85"/>
        <v/>
      </c>
      <c r="AN365" s="5">
        <f t="shared" si="86"/>
        <v>0</v>
      </c>
      <c r="AO365" s="1" t="str">
        <f t="shared" si="101"/>
        <v/>
      </c>
    </row>
    <row r="366" spans="1:41">
      <c r="A366" t="s">
        <v>1312</v>
      </c>
      <c r="B366" t="s">
        <v>1307</v>
      </c>
      <c r="C366" t="s">
        <v>1313</v>
      </c>
      <c r="D366">
        <v>410</v>
      </c>
      <c r="E366">
        <v>391</v>
      </c>
      <c r="F366">
        <v>0</v>
      </c>
      <c r="G366">
        <v>3</v>
      </c>
      <c r="L366" t="s">
        <v>1314</v>
      </c>
      <c r="M366" t="s">
        <v>1315</v>
      </c>
      <c r="N366" t="s">
        <v>1311</v>
      </c>
      <c r="O366">
        <v>0</v>
      </c>
      <c r="P366" t="s">
        <v>734</v>
      </c>
      <c r="Q366" t="s">
        <v>134</v>
      </c>
      <c r="R366">
        <v>10695</v>
      </c>
      <c r="S366" t="s">
        <v>1315</v>
      </c>
      <c r="U366" t="s">
        <v>135</v>
      </c>
      <c r="V366" t="s">
        <v>735</v>
      </c>
      <c r="W366">
        <v>12278469</v>
      </c>
      <c r="X366" t="s">
        <v>736</v>
      </c>
      <c r="Y366">
        <f t="shared" si="87"/>
        <v>0.48093000000000002</v>
      </c>
      <c r="Z366">
        <f t="shared" si="88"/>
        <v>4.806</v>
      </c>
      <c r="AA366">
        <f t="shared" si="89"/>
        <v>0</v>
      </c>
      <c r="AB366" s="2">
        <f t="shared" si="90"/>
        <v>10</v>
      </c>
      <c r="AC366" s="2">
        <f t="shared" si="91"/>
        <v>0</v>
      </c>
      <c r="AD366" s="2">
        <f t="shared" si="92"/>
        <v>0</v>
      </c>
      <c r="AE366" s="2">
        <f t="shared" si="93"/>
        <v>0</v>
      </c>
      <c r="AF366" s="2">
        <f t="shared" si="94"/>
        <v>0</v>
      </c>
      <c r="AG366" s="2">
        <f t="shared" si="95"/>
        <v>0</v>
      </c>
      <c r="AH366" s="2">
        <f t="shared" si="96"/>
        <v>0</v>
      </c>
      <c r="AI366" s="1">
        <f t="shared" si="97"/>
        <v>173.01599999999999</v>
      </c>
      <c r="AJ366" s="1">
        <f t="shared" si="98"/>
        <v>0</v>
      </c>
      <c r="AK366" s="1" t="str">
        <f t="shared" si="99"/>
        <v/>
      </c>
      <c r="AL366" s="1" t="str">
        <f t="shared" si="100"/>
        <v/>
      </c>
      <c r="AM366" s="1" t="str">
        <f t="shared" si="85"/>
        <v/>
      </c>
      <c r="AN366" s="5">
        <f t="shared" si="86"/>
        <v>0</v>
      </c>
      <c r="AO366" s="1" t="str">
        <f t="shared" si="101"/>
        <v/>
      </c>
    </row>
    <row r="367" spans="1:41">
      <c r="A367" t="s">
        <v>1316</v>
      </c>
      <c r="B367" t="s">
        <v>1307</v>
      </c>
      <c r="C367" t="s">
        <v>1317</v>
      </c>
      <c r="D367">
        <v>387</v>
      </c>
      <c r="E367">
        <v>410</v>
      </c>
      <c r="F367">
        <v>0</v>
      </c>
      <c r="G367">
        <v>4</v>
      </c>
      <c r="L367" t="s">
        <v>1318</v>
      </c>
      <c r="M367" t="s">
        <v>1319</v>
      </c>
      <c r="N367" t="s">
        <v>1311</v>
      </c>
      <c r="O367">
        <v>0</v>
      </c>
      <c r="P367" t="s">
        <v>133</v>
      </c>
      <c r="Q367" t="s">
        <v>134</v>
      </c>
      <c r="R367">
        <v>10695</v>
      </c>
      <c r="S367" t="s">
        <v>1319</v>
      </c>
      <c r="U367" t="s">
        <v>135</v>
      </c>
      <c r="V367" t="s">
        <v>136</v>
      </c>
      <c r="W367">
        <v>12278868</v>
      </c>
      <c r="X367" t="s">
        <v>137</v>
      </c>
      <c r="Y367">
        <f t="shared" si="87"/>
        <v>0.63468000000000002</v>
      </c>
      <c r="Z367">
        <f t="shared" si="88"/>
        <v>6.3760000000000003</v>
      </c>
      <c r="AA367">
        <f t="shared" si="89"/>
        <v>0</v>
      </c>
      <c r="AB367" s="2">
        <f t="shared" si="90"/>
        <v>10</v>
      </c>
      <c r="AC367" s="2">
        <f t="shared" si="91"/>
        <v>0</v>
      </c>
      <c r="AD367" s="2">
        <f t="shared" si="92"/>
        <v>0</v>
      </c>
      <c r="AE367" s="2">
        <f t="shared" si="93"/>
        <v>0</v>
      </c>
      <c r="AF367" s="2">
        <f t="shared" si="94"/>
        <v>0</v>
      </c>
      <c r="AG367" s="2">
        <f t="shared" si="95"/>
        <v>0</v>
      </c>
      <c r="AH367" s="2">
        <f t="shared" si="96"/>
        <v>0</v>
      </c>
      <c r="AI367" s="1">
        <f t="shared" si="97"/>
        <v>229.536</v>
      </c>
      <c r="AJ367" s="1">
        <f t="shared" si="98"/>
        <v>0</v>
      </c>
      <c r="AK367" s="1" t="str">
        <f t="shared" si="99"/>
        <v/>
      </c>
      <c r="AL367" s="1" t="str">
        <f t="shared" si="100"/>
        <v/>
      </c>
      <c r="AM367" s="1" t="str">
        <f t="shared" si="85"/>
        <v/>
      </c>
      <c r="AN367" s="5">
        <f t="shared" si="86"/>
        <v>0</v>
      </c>
      <c r="AO367" s="1" t="str">
        <f t="shared" si="101"/>
        <v/>
      </c>
    </row>
    <row r="368" spans="1:41">
      <c r="A368" t="s">
        <v>1320</v>
      </c>
      <c r="B368" t="s">
        <v>1307</v>
      </c>
      <c r="C368" t="s">
        <v>1321</v>
      </c>
      <c r="D368">
        <v>387</v>
      </c>
      <c r="E368">
        <v>410</v>
      </c>
      <c r="F368">
        <v>0</v>
      </c>
      <c r="G368">
        <v>2</v>
      </c>
      <c r="L368" t="s">
        <v>1322</v>
      </c>
      <c r="M368" t="s">
        <v>1323</v>
      </c>
      <c r="N368" t="s">
        <v>1311</v>
      </c>
      <c r="O368">
        <v>0</v>
      </c>
      <c r="P368" t="s">
        <v>133</v>
      </c>
      <c r="Q368" t="s">
        <v>134</v>
      </c>
      <c r="R368">
        <v>10695</v>
      </c>
      <c r="S368" t="s">
        <v>1323</v>
      </c>
      <c r="U368" t="s">
        <v>135</v>
      </c>
      <c r="V368" t="s">
        <v>136</v>
      </c>
      <c r="W368">
        <v>12278883</v>
      </c>
      <c r="X368" t="s">
        <v>137</v>
      </c>
      <c r="Y368">
        <f t="shared" si="87"/>
        <v>0.31734000000000001</v>
      </c>
      <c r="Z368">
        <f t="shared" si="88"/>
        <v>3.1880000000000002</v>
      </c>
      <c r="AA368">
        <f t="shared" si="89"/>
        <v>0</v>
      </c>
      <c r="AB368" s="2">
        <f t="shared" si="90"/>
        <v>10</v>
      </c>
      <c r="AC368" s="2">
        <f t="shared" si="91"/>
        <v>0</v>
      </c>
      <c r="AD368" s="2">
        <f t="shared" si="92"/>
        <v>0</v>
      </c>
      <c r="AE368" s="2">
        <f t="shared" si="93"/>
        <v>0</v>
      </c>
      <c r="AF368" s="2">
        <f t="shared" si="94"/>
        <v>0</v>
      </c>
      <c r="AG368" s="2">
        <f t="shared" si="95"/>
        <v>0</v>
      </c>
      <c r="AH368" s="2">
        <f t="shared" si="96"/>
        <v>0</v>
      </c>
      <c r="AI368" s="1">
        <f t="shared" si="97"/>
        <v>114.768</v>
      </c>
      <c r="AJ368" s="1">
        <f t="shared" si="98"/>
        <v>0</v>
      </c>
      <c r="AK368" s="1" t="str">
        <f t="shared" si="99"/>
        <v/>
      </c>
      <c r="AL368" s="1" t="str">
        <f t="shared" si="100"/>
        <v/>
      </c>
      <c r="AM368" s="1" t="str">
        <f t="shared" si="85"/>
        <v/>
      </c>
      <c r="AN368" s="5">
        <f t="shared" si="86"/>
        <v>0</v>
      </c>
      <c r="AO368" s="1" t="str">
        <f t="shared" si="101"/>
        <v/>
      </c>
    </row>
    <row r="369" spans="1:41">
      <c r="A369" t="s">
        <v>1324</v>
      </c>
      <c r="B369" t="s">
        <v>1307</v>
      </c>
      <c r="C369" t="s">
        <v>1325</v>
      </c>
      <c r="D369">
        <v>410</v>
      </c>
      <c r="E369">
        <v>207</v>
      </c>
      <c r="F369">
        <v>0</v>
      </c>
      <c r="G369">
        <v>1</v>
      </c>
      <c r="L369" t="s">
        <v>1326</v>
      </c>
      <c r="M369" t="s">
        <v>1327</v>
      </c>
      <c r="N369" t="s">
        <v>1311</v>
      </c>
      <c r="O369">
        <v>0</v>
      </c>
      <c r="P369" t="s">
        <v>806</v>
      </c>
      <c r="Q369" t="s">
        <v>134</v>
      </c>
      <c r="R369">
        <v>10695</v>
      </c>
      <c r="S369" t="s">
        <v>1327</v>
      </c>
      <c r="U369" t="s">
        <v>105</v>
      </c>
      <c r="V369" t="s">
        <v>807</v>
      </c>
      <c r="W369">
        <v>12278793</v>
      </c>
      <c r="X369" t="s">
        <v>813</v>
      </c>
      <c r="Y369">
        <f t="shared" si="87"/>
        <v>8.4870000000000001E-2</v>
      </c>
      <c r="Z369">
        <f t="shared" si="88"/>
        <v>1.234</v>
      </c>
      <c r="AA369">
        <f t="shared" si="89"/>
        <v>0</v>
      </c>
      <c r="AB369" s="2">
        <f t="shared" si="90"/>
        <v>9</v>
      </c>
      <c r="AC369" s="2">
        <f t="shared" si="91"/>
        <v>0</v>
      </c>
      <c r="AD369" s="2">
        <f t="shared" si="92"/>
        <v>0</v>
      </c>
      <c r="AE369" s="2">
        <f t="shared" si="93"/>
        <v>0</v>
      </c>
      <c r="AF369" s="2">
        <f t="shared" si="94"/>
        <v>0</v>
      </c>
      <c r="AG369" s="2">
        <f t="shared" si="95"/>
        <v>0</v>
      </c>
      <c r="AH369" s="2">
        <f t="shared" si="96"/>
        <v>0</v>
      </c>
      <c r="AI369" s="1">
        <f t="shared" si="97"/>
        <v>44.423999999999999</v>
      </c>
      <c r="AJ369" s="1">
        <f t="shared" si="98"/>
        <v>0</v>
      </c>
      <c r="AK369" s="1" t="str">
        <f t="shared" si="99"/>
        <v/>
      </c>
      <c r="AL369" s="1" t="str">
        <f t="shared" si="100"/>
        <v/>
      </c>
      <c r="AM369" s="1" t="str">
        <f t="shared" si="85"/>
        <v/>
      </c>
      <c r="AN369" s="5">
        <f t="shared" si="86"/>
        <v>0</v>
      </c>
      <c r="AO369" s="1" t="str">
        <f t="shared" si="101"/>
        <v/>
      </c>
    </row>
    <row r="370" spans="1:41">
      <c r="A370" t="s">
        <v>1328</v>
      </c>
      <c r="B370" t="s">
        <v>1307</v>
      </c>
      <c r="C370" t="s">
        <v>1329</v>
      </c>
      <c r="D370">
        <v>388</v>
      </c>
      <c r="E370">
        <v>410</v>
      </c>
      <c r="F370">
        <v>0</v>
      </c>
      <c r="G370">
        <v>15</v>
      </c>
      <c r="L370" t="s">
        <v>1330</v>
      </c>
      <c r="M370" t="s">
        <v>1331</v>
      </c>
      <c r="N370" t="s">
        <v>1311</v>
      </c>
      <c r="O370">
        <v>0</v>
      </c>
      <c r="P370" t="s">
        <v>406</v>
      </c>
      <c r="Q370" t="s">
        <v>374</v>
      </c>
      <c r="R370">
        <v>3136</v>
      </c>
      <c r="S370" t="s">
        <v>1331</v>
      </c>
      <c r="U370" t="s">
        <v>83</v>
      </c>
      <c r="V370" t="s">
        <v>407</v>
      </c>
      <c r="W370">
        <v>12277705</v>
      </c>
      <c r="X370" t="s">
        <v>406</v>
      </c>
      <c r="Y370">
        <f t="shared" si="87"/>
        <v>2.3862000000000001</v>
      </c>
      <c r="Z370">
        <f t="shared" si="88"/>
        <v>23.94</v>
      </c>
      <c r="AA370">
        <f t="shared" si="89"/>
        <v>0</v>
      </c>
      <c r="AB370" s="2">
        <f t="shared" si="90"/>
        <v>8</v>
      </c>
      <c r="AC370" s="2">
        <f t="shared" si="91"/>
        <v>0</v>
      </c>
      <c r="AD370" s="2">
        <f t="shared" si="92"/>
        <v>0</v>
      </c>
      <c r="AE370" s="2">
        <f t="shared" si="93"/>
        <v>0</v>
      </c>
      <c r="AF370" s="2">
        <f t="shared" si="94"/>
        <v>0</v>
      </c>
      <c r="AG370" s="2">
        <f t="shared" si="95"/>
        <v>0</v>
      </c>
      <c r="AH370" s="2">
        <f t="shared" si="96"/>
        <v>0</v>
      </c>
      <c r="AI370" s="1">
        <f t="shared" si="97"/>
        <v>861.84</v>
      </c>
      <c r="AJ370" s="1">
        <f t="shared" si="98"/>
        <v>0</v>
      </c>
      <c r="AK370" s="1" t="str">
        <f t="shared" si="99"/>
        <v/>
      </c>
      <c r="AL370" s="1" t="str">
        <f t="shared" si="100"/>
        <v/>
      </c>
      <c r="AM370" s="1" t="str">
        <f t="shared" si="85"/>
        <v/>
      </c>
      <c r="AN370" s="5">
        <f t="shared" si="86"/>
        <v>0</v>
      </c>
      <c r="AO370" s="1" t="str">
        <f t="shared" si="101"/>
        <v/>
      </c>
    </row>
    <row r="371" spans="1:41">
      <c r="A371" t="s">
        <v>1328</v>
      </c>
      <c r="B371" t="s">
        <v>1307</v>
      </c>
      <c r="C371" t="s">
        <v>1329</v>
      </c>
      <c r="D371">
        <v>388</v>
      </c>
      <c r="E371">
        <v>410</v>
      </c>
      <c r="F371">
        <v>0</v>
      </c>
      <c r="G371">
        <v>6</v>
      </c>
      <c r="L371" t="s">
        <v>1330</v>
      </c>
      <c r="M371" t="s">
        <v>1331</v>
      </c>
      <c r="N371" t="s">
        <v>1311</v>
      </c>
      <c r="O371">
        <v>0</v>
      </c>
      <c r="P371" t="s">
        <v>406</v>
      </c>
      <c r="Q371" t="s">
        <v>374</v>
      </c>
      <c r="R371">
        <v>3136</v>
      </c>
      <c r="S371" t="s">
        <v>1331</v>
      </c>
      <c r="U371" t="s">
        <v>83</v>
      </c>
      <c r="V371" t="s">
        <v>407</v>
      </c>
      <c r="W371">
        <v>12277762</v>
      </c>
      <c r="X371" t="s">
        <v>406</v>
      </c>
      <c r="Y371">
        <f t="shared" si="87"/>
        <v>0.95448</v>
      </c>
      <c r="Z371">
        <f t="shared" si="88"/>
        <v>9.5760000000000005</v>
      </c>
      <c r="AA371">
        <f t="shared" si="89"/>
        <v>0</v>
      </c>
      <c r="AB371" s="2">
        <f t="shared" si="90"/>
        <v>8</v>
      </c>
      <c r="AC371" s="2">
        <f t="shared" si="91"/>
        <v>0</v>
      </c>
      <c r="AD371" s="2">
        <f t="shared" si="92"/>
        <v>0</v>
      </c>
      <c r="AE371" s="2">
        <f t="shared" si="93"/>
        <v>0</v>
      </c>
      <c r="AF371" s="2">
        <f t="shared" si="94"/>
        <v>0</v>
      </c>
      <c r="AG371" s="2">
        <f t="shared" si="95"/>
        <v>0</v>
      </c>
      <c r="AH371" s="2">
        <f t="shared" si="96"/>
        <v>0</v>
      </c>
      <c r="AI371" s="1">
        <f t="shared" si="97"/>
        <v>344.73599999999999</v>
      </c>
      <c r="AJ371" s="1">
        <f t="shared" si="98"/>
        <v>0</v>
      </c>
      <c r="AK371" s="1" t="str">
        <f t="shared" si="99"/>
        <v/>
      </c>
      <c r="AL371" s="1" t="str">
        <f t="shared" si="100"/>
        <v/>
      </c>
      <c r="AM371" s="1" t="str">
        <f t="shared" si="85"/>
        <v/>
      </c>
      <c r="AN371" s="5">
        <f t="shared" si="86"/>
        <v>0</v>
      </c>
      <c r="AO371" s="1" t="str">
        <f t="shared" si="101"/>
        <v/>
      </c>
    </row>
    <row r="372" spans="1:41">
      <c r="A372" t="s">
        <v>1332</v>
      </c>
      <c r="B372" t="s">
        <v>1333</v>
      </c>
      <c r="C372" t="s">
        <v>1334</v>
      </c>
      <c r="D372">
        <v>445</v>
      </c>
      <c r="E372">
        <v>404</v>
      </c>
      <c r="F372">
        <v>1</v>
      </c>
      <c r="G372">
        <v>6</v>
      </c>
      <c r="L372" t="s">
        <v>1335</v>
      </c>
      <c r="M372" t="s">
        <v>1336</v>
      </c>
      <c r="N372" t="s">
        <v>283</v>
      </c>
      <c r="O372">
        <v>0</v>
      </c>
      <c r="P372" t="s">
        <v>373</v>
      </c>
      <c r="Q372" t="s">
        <v>374</v>
      </c>
      <c r="R372">
        <v>3136</v>
      </c>
      <c r="S372" t="s">
        <v>1336</v>
      </c>
      <c r="U372" t="s">
        <v>83</v>
      </c>
      <c r="V372" t="s">
        <v>375</v>
      </c>
      <c r="W372">
        <v>12276617</v>
      </c>
      <c r="X372" t="s">
        <v>376</v>
      </c>
      <c r="Y372">
        <f t="shared" si="87"/>
        <v>1.0786800000000001</v>
      </c>
      <c r="Z372">
        <f t="shared" si="88"/>
        <v>10.187999999999999</v>
      </c>
      <c r="AA372">
        <f t="shared" si="89"/>
        <v>0</v>
      </c>
      <c r="AB372" s="2">
        <f t="shared" si="90"/>
        <v>49</v>
      </c>
      <c r="AC372" s="2">
        <f t="shared" si="91"/>
        <v>0</v>
      </c>
      <c r="AD372" s="2">
        <f t="shared" si="92"/>
        <v>0</v>
      </c>
      <c r="AE372" s="2">
        <f t="shared" si="93"/>
        <v>0</v>
      </c>
      <c r="AF372" s="2">
        <f t="shared" si="94"/>
        <v>0</v>
      </c>
      <c r="AG372" s="2">
        <f t="shared" si="95"/>
        <v>39</v>
      </c>
      <c r="AH372" s="2">
        <f t="shared" si="96"/>
        <v>0</v>
      </c>
      <c r="AI372" s="1">
        <f t="shared" si="97"/>
        <v>366.76799999999997</v>
      </c>
      <c r="AJ372" s="1">
        <f t="shared" si="98"/>
        <v>0</v>
      </c>
      <c r="AK372" s="1" t="str">
        <f t="shared" si="99"/>
        <v/>
      </c>
      <c r="AL372" s="1" t="str">
        <f t="shared" si="100"/>
        <v/>
      </c>
      <c r="AM372" s="1" t="str">
        <f t="shared" si="85"/>
        <v/>
      </c>
      <c r="AN372" s="5">
        <f t="shared" si="86"/>
        <v>5796.5169599999999</v>
      </c>
      <c r="AO372" s="1" t="str">
        <f t="shared" si="101"/>
        <v/>
      </c>
    </row>
    <row r="373" spans="1:41">
      <c r="A373" t="s">
        <v>1332</v>
      </c>
      <c r="B373" t="s">
        <v>1333</v>
      </c>
      <c r="C373" t="s">
        <v>1337</v>
      </c>
      <c r="D373">
        <v>445</v>
      </c>
      <c r="E373">
        <v>404</v>
      </c>
      <c r="F373">
        <v>1</v>
      </c>
      <c r="G373">
        <v>6</v>
      </c>
      <c r="L373" t="s">
        <v>1335</v>
      </c>
      <c r="M373" t="s">
        <v>1336</v>
      </c>
      <c r="N373" t="s">
        <v>283</v>
      </c>
      <c r="O373">
        <v>0</v>
      </c>
      <c r="P373" t="s">
        <v>378</v>
      </c>
      <c r="Q373" t="s">
        <v>374</v>
      </c>
      <c r="R373">
        <v>3136</v>
      </c>
      <c r="S373" t="s">
        <v>1336</v>
      </c>
      <c r="U373" t="s">
        <v>83</v>
      </c>
      <c r="V373" t="s">
        <v>375</v>
      </c>
      <c r="W373">
        <v>12276962</v>
      </c>
      <c r="X373" t="s">
        <v>379</v>
      </c>
      <c r="Y373">
        <f t="shared" si="87"/>
        <v>1.0786800000000001</v>
      </c>
      <c r="Z373">
        <f t="shared" si="88"/>
        <v>10.187999999999999</v>
      </c>
      <c r="AA373">
        <f t="shared" si="89"/>
        <v>0</v>
      </c>
      <c r="AB373" s="2">
        <f t="shared" si="90"/>
        <v>52</v>
      </c>
      <c r="AC373" s="2">
        <f t="shared" si="91"/>
        <v>0</v>
      </c>
      <c r="AD373" s="2">
        <f t="shared" si="92"/>
        <v>0</v>
      </c>
      <c r="AE373" s="2">
        <f t="shared" si="93"/>
        <v>0</v>
      </c>
      <c r="AF373" s="2">
        <f t="shared" si="94"/>
        <v>0</v>
      </c>
      <c r="AG373" s="2">
        <f t="shared" si="95"/>
        <v>42</v>
      </c>
      <c r="AH373" s="2">
        <f t="shared" si="96"/>
        <v>0</v>
      </c>
      <c r="AI373" s="1">
        <f t="shared" si="97"/>
        <v>366.76799999999997</v>
      </c>
      <c r="AJ373" s="1">
        <f t="shared" si="98"/>
        <v>0</v>
      </c>
      <c r="AK373" s="1" t="str">
        <f t="shared" si="99"/>
        <v/>
      </c>
      <c r="AL373" s="1" t="str">
        <f t="shared" si="100"/>
        <v/>
      </c>
      <c r="AM373" s="1" t="str">
        <f t="shared" si="85"/>
        <v/>
      </c>
      <c r="AN373" s="5">
        <f t="shared" si="86"/>
        <v>5796.5169599999999</v>
      </c>
      <c r="AO373" s="1" t="str">
        <f t="shared" si="101"/>
        <v/>
      </c>
    </row>
    <row r="374" spans="1:41">
      <c r="A374" t="s">
        <v>1332</v>
      </c>
      <c r="B374" t="s">
        <v>1333</v>
      </c>
      <c r="C374" t="s">
        <v>1338</v>
      </c>
      <c r="D374">
        <v>445</v>
      </c>
      <c r="E374">
        <v>404</v>
      </c>
      <c r="F374">
        <v>1</v>
      </c>
      <c r="G374">
        <v>2</v>
      </c>
      <c r="L374" t="s">
        <v>1335</v>
      </c>
      <c r="M374" t="s">
        <v>1336</v>
      </c>
      <c r="N374" t="s">
        <v>283</v>
      </c>
      <c r="O374">
        <v>0</v>
      </c>
      <c r="P374" t="s">
        <v>381</v>
      </c>
      <c r="Q374" t="s">
        <v>374</v>
      </c>
      <c r="R374">
        <v>3136</v>
      </c>
      <c r="S374" t="s">
        <v>1336</v>
      </c>
      <c r="U374" t="s">
        <v>83</v>
      </c>
      <c r="V374" t="s">
        <v>375</v>
      </c>
      <c r="W374">
        <v>12277250</v>
      </c>
      <c r="X374" t="s">
        <v>376</v>
      </c>
      <c r="Y374">
        <f t="shared" si="87"/>
        <v>0.35955999999999999</v>
      </c>
      <c r="Z374">
        <f t="shared" si="88"/>
        <v>3.3959999999999999</v>
      </c>
      <c r="AA374">
        <f t="shared" si="89"/>
        <v>0</v>
      </c>
      <c r="AB374" s="2">
        <f t="shared" si="90"/>
        <v>49</v>
      </c>
      <c r="AC374" s="2">
        <f t="shared" si="91"/>
        <v>0</v>
      </c>
      <c r="AD374" s="2">
        <f t="shared" si="92"/>
        <v>0</v>
      </c>
      <c r="AE374" s="2">
        <f t="shared" si="93"/>
        <v>0</v>
      </c>
      <c r="AF374" s="2">
        <f t="shared" si="94"/>
        <v>0</v>
      </c>
      <c r="AG374" s="2">
        <f t="shared" si="95"/>
        <v>39</v>
      </c>
      <c r="AH374" s="2">
        <f t="shared" si="96"/>
        <v>0</v>
      </c>
      <c r="AI374" s="1">
        <f t="shared" si="97"/>
        <v>122.256</v>
      </c>
      <c r="AJ374" s="1">
        <f t="shared" si="98"/>
        <v>0</v>
      </c>
      <c r="AK374" s="1" t="str">
        <f t="shared" si="99"/>
        <v/>
      </c>
      <c r="AL374" s="1" t="str">
        <f t="shared" si="100"/>
        <v/>
      </c>
      <c r="AM374" s="1" t="str">
        <f t="shared" si="85"/>
        <v/>
      </c>
      <c r="AN374" s="5">
        <f t="shared" si="86"/>
        <v>980.05744000000004</v>
      </c>
      <c r="AO374" s="1" t="str">
        <f t="shared" si="101"/>
        <v/>
      </c>
    </row>
    <row r="375" spans="1:41">
      <c r="A375" t="s">
        <v>1339</v>
      </c>
      <c r="B375" t="s">
        <v>1340</v>
      </c>
      <c r="C375" t="s">
        <v>1341</v>
      </c>
      <c r="D375">
        <v>2310</v>
      </c>
      <c r="E375">
        <v>310</v>
      </c>
      <c r="F375">
        <v>0</v>
      </c>
      <c r="G375">
        <v>2</v>
      </c>
      <c r="H375">
        <v>1</v>
      </c>
      <c r="I375">
        <v>1</v>
      </c>
      <c r="J375">
        <v>1</v>
      </c>
      <c r="K375">
        <v>1</v>
      </c>
      <c r="L375" t="s">
        <v>1342</v>
      </c>
      <c r="M375" t="s">
        <v>1343</v>
      </c>
      <c r="N375" t="s">
        <v>658</v>
      </c>
      <c r="O375">
        <v>0</v>
      </c>
      <c r="P375" t="s">
        <v>271</v>
      </c>
      <c r="Q375" t="s">
        <v>134</v>
      </c>
      <c r="R375">
        <v>10695</v>
      </c>
      <c r="S375" t="s">
        <v>1343</v>
      </c>
      <c r="U375" t="s">
        <v>272</v>
      </c>
      <c r="V375" t="s">
        <v>273</v>
      </c>
      <c r="W375">
        <v>12277890</v>
      </c>
      <c r="X375" t="s">
        <v>284</v>
      </c>
      <c r="Y375">
        <f t="shared" si="87"/>
        <v>1.4321999999999999</v>
      </c>
      <c r="Z375">
        <f t="shared" si="88"/>
        <v>10.48</v>
      </c>
      <c r="AA375">
        <f t="shared" si="89"/>
        <v>10.48</v>
      </c>
      <c r="AB375" s="2">
        <f t="shared" si="90"/>
        <v>9</v>
      </c>
      <c r="AC375" s="2">
        <f t="shared" si="91"/>
        <v>0</v>
      </c>
      <c r="AD375" s="2">
        <f t="shared" si="92"/>
        <v>0</v>
      </c>
      <c r="AE375" s="2">
        <f t="shared" si="93"/>
        <v>0</v>
      </c>
      <c r="AF375" s="2">
        <f t="shared" si="94"/>
        <v>0</v>
      </c>
      <c r="AG375" s="2">
        <f t="shared" si="95"/>
        <v>0</v>
      </c>
      <c r="AH375" s="2">
        <f t="shared" si="96"/>
        <v>0</v>
      </c>
      <c r="AI375" s="1">
        <f t="shared" si="97"/>
        <v>377.28000000000003</v>
      </c>
      <c r="AJ375" s="1">
        <f t="shared" si="98"/>
        <v>628.80000000000007</v>
      </c>
      <c r="AK375" s="1" t="str">
        <f t="shared" si="99"/>
        <v/>
      </c>
      <c r="AL375" s="1" t="str">
        <f t="shared" si="100"/>
        <v/>
      </c>
      <c r="AM375" s="1" t="str">
        <f t="shared" si="85"/>
        <v/>
      </c>
      <c r="AN375" s="5">
        <f t="shared" si="86"/>
        <v>0</v>
      </c>
      <c r="AO375" s="1" t="str">
        <f t="shared" si="101"/>
        <v/>
      </c>
    </row>
    <row r="376" spans="1:41">
      <c r="A376" t="s">
        <v>1344</v>
      </c>
      <c r="B376" t="s">
        <v>1340</v>
      </c>
      <c r="C376" t="s">
        <v>1345</v>
      </c>
      <c r="D376">
        <v>570</v>
      </c>
      <c r="E376">
        <v>710</v>
      </c>
      <c r="F376">
        <v>0</v>
      </c>
      <c r="G376">
        <v>2</v>
      </c>
      <c r="H376">
        <v>1</v>
      </c>
      <c r="I376">
        <v>1</v>
      </c>
      <c r="J376">
        <v>1</v>
      </c>
      <c r="K376">
        <v>1</v>
      </c>
      <c r="L376" t="s">
        <v>1346</v>
      </c>
      <c r="M376" t="s">
        <v>1347</v>
      </c>
      <c r="N376" t="s">
        <v>658</v>
      </c>
      <c r="O376">
        <v>0</v>
      </c>
      <c r="P376" t="s">
        <v>271</v>
      </c>
      <c r="Q376" t="s">
        <v>134</v>
      </c>
      <c r="R376">
        <v>10695</v>
      </c>
      <c r="S376" t="s">
        <v>1347</v>
      </c>
      <c r="U376" t="s">
        <v>272</v>
      </c>
      <c r="V376" t="s">
        <v>273</v>
      </c>
      <c r="W376">
        <v>12277977</v>
      </c>
      <c r="X376" t="s">
        <v>274</v>
      </c>
      <c r="Y376">
        <f t="shared" si="87"/>
        <v>0.80940000000000001</v>
      </c>
      <c r="Z376">
        <f t="shared" si="88"/>
        <v>5.12</v>
      </c>
      <c r="AA376">
        <f t="shared" si="89"/>
        <v>5.12</v>
      </c>
      <c r="AB376" s="2">
        <f t="shared" si="90"/>
        <v>9</v>
      </c>
      <c r="AC376" s="2">
        <f t="shared" si="91"/>
        <v>0</v>
      </c>
      <c r="AD376" s="2">
        <f t="shared" si="92"/>
        <v>0</v>
      </c>
      <c r="AE376" s="2">
        <f t="shared" si="93"/>
        <v>0</v>
      </c>
      <c r="AF376" s="2">
        <f t="shared" si="94"/>
        <v>0</v>
      </c>
      <c r="AG376" s="2">
        <f t="shared" si="95"/>
        <v>0</v>
      </c>
      <c r="AH376" s="2">
        <f t="shared" si="96"/>
        <v>0</v>
      </c>
      <c r="AI376" s="1">
        <f t="shared" si="97"/>
        <v>184.32</v>
      </c>
      <c r="AJ376" s="1">
        <f t="shared" si="98"/>
        <v>307.2</v>
      </c>
      <c r="AK376" s="1" t="str">
        <f t="shared" si="99"/>
        <v/>
      </c>
      <c r="AL376" s="1" t="str">
        <f t="shared" si="100"/>
        <v/>
      </c>
      <c r="AM376" s="1" t="str">
        <f t="shared" si="85"/>
        <v/>
      </c>
      <c r="AN376" s="5">
        <f t="shared" si="86"/>
        <v>0</v>
      </c>
      <c r="AO376" s="1" t="str">
        <f t="shared" si="101"/>
        <v/>
      </c>
    </row>
    <row r="377" spans="1:41">
      <c r="A377" t="s">
        <v>1348</v>
      </c>
      <c r="B377" t="s">
        <v>1340</v>
      </c>
      <c r="C377" t="s">
        <v>1349</v>
      </c>
      <c r="D377">
        <v>570</v>
      </c>
      <c r="E377">
        <v>710</v>
      </c>
      <c r="F377">
        <v>0</v>
      </c>
      <c r="G377">
        <v>2</v>
      </c>
      <c r="H377">
        <v>1</v>
      </c>
      <c r="I377">
        <v>1</v>
      </c>
      <c r="J377">
        <v>1</v>
      </c>
      <c r="K377">
        <v>1</v>
      </c>
      <c r="L377" t="s">
        <v>1350</v>
      </c>
      <c r="M377" t="s">
        <v>1351</v>
      </c>
      <c r="N377" t="s">
        <v>658</v>
      </c>
      <c r="O377">
        <v>0</v>
      </c>
      <c r="P377" t="s">
        <v>271</v>
      </c>
      <c r="Q377" t="s">
        <v>134</v>
      </c>
      <c r="R377">
        <v>10695</v>
      </c>
      <c r="S377" t="s">
        <v>1351</v>
      </c>
      <c r="U377" t="s">
        <v>272</v>
      </c>
      <c r="V377" t="s">
        <v>273</v>
      </c>
      <c r="W377">
        <v>12277983</v>
      </c>
      <c r="X377" t="s">
        <v>274</v>
      </c>
      <c r="Y377">
        <f t="shared" si="87"/>
        <v>0.80940000000000001</v>
      </c>
      <c r="Z377">
        <f t="shared" si="88"/>
        <v>5.12</v>
      </c>
      <c r="AA377">
        <f t="shared" si="89"/>
        <v>5.12</v>
      </c>
      <c r="AB377" s="2">
        <f t="shared" si="90"/>
        <v>9</v>
      </c>
      <c r="AC377" s="2">
        <f t="shared" si="91"/>
        <v>0</v>
      </c>
      <c r="AD377" s="2">
        <f t="shared" si="92"/>
        <v>0</v>
      </c>
      <c r="AE377" s="2">
        <f t="shared" si="93"/>
        <v>0</v>
      </c>
      <c r="AF377" s="2">
        <f t="shared" si="94"/>
        <v>0</v>
      </c>
      <c r="AG377" s="2">
        <f t="shared" si="95"/>
        <v>0</v>
      </c>
      <c r="AH377" s="2">
        <f t="shared" si="96"/>
        <v>0</v>
      </c>
      <c r="AI377" s="1">
        <f t="shared" si="97"/>
        <v>184.32</v>
      </c>
      <c r="AJ377" s="1">
        <f t="shared" si="98"/>
        <v>307.2</v>
      </c>
      <c r="AK377" s="1" t="str">
        <f t="shared" si="99"/>
        <v/>
      </c>
      <c r="AL377" s="1" t="str">
        <f t="shared" si="100"/>
        <v/>
      </c>
      <c r="AM377" s="1" t="str">
        <f t="shared" si="85"/>
        <v/>
      </c>
      <c r="AN377" s="5">
        <f t="shared" si="86"/>
        <v>0</v>
      </c>
      <c r="AO377" s="1" t="str">
        <f t="shared" si="101"/>
        <v/>
      </c>
    </row>
    <row r="378" spans="1:41">
      <c r="A378" t="s">
        <v>1352</v>
      </c>
      <c r="B378" t="s">
        <v>1353</v>
      </c>
      <c r="C378" t="s">
        <v>1354</v>
      </c>
      <c r="D378">
        <v>445</v>
      </c>
      <c r="E378">
        <v>404</v>
      </c>
      <c r="F378">
        <v>0</v>
      </c>
      <c r="G378">
        <v>2</v>
      </c>
      <c r="L378" t="s">
        <v>1355</v>
      </c>
      <c r="M378" t="s">
        <v>1356</v>
      </c>
      <c r="N378" t="s">
        <v>359</v>
      </c>
      <c r="O378">
        <v>0</v>
      </c>
      <c r="P378" t="s">
        <v>360</v>
      </c>
      <c r="Q378" t="s">
        <v>134</v>
      </c>
      <c r="R378">
        <v>10695</v>
      </c>
      <c r="S378" t="s">
        <v>1356</v>
      </c>
      <c r="U378" t="s">
        <v>361</v>
      </c>
      <c r="V378" t="s">
        <v>362</v>
      </c>
      <c r="W378">
        <v>12278736</v>
      </c>
      <c r="X378" t="s">
        <v>363</v>
      </c>
      <c r="Y378">
        <f t="shared" si="87"/>
        <v>0.35955999999999999</v>
      </c>
      <c r="Z378">
        <f t="shared" si="88"/>
        <v>3.3959999999999999</v>
      </c>
      <c r="AA378">
        <f t="shared" si="89"/>
        <v>0</v>
      </c>
      <c r="AB378" s="2">
        <f t="shared" si="90"/>
        <v>13</v>
      </c>
      <c r="AC378" s="2">
        <f t="shared" si="91"/>
        <v>0</v>
      </c>
      <c r="AD378" s="2">
        <f t="shared" si="92"/>
        <v>0</v>
      </c>
      <c r="AE378" s="2">
        <f t="shared" si="93"/>
        <v>0</v>
      </c>
      <c r="AF378" s="2">
        <f t="shared" si="94"/>
        <v>0</v>
      </c>
      <c r="AG378" s="2">
        <f t="shared" si="95"/>
        <v>10</v>
      </c>
      <c r="AH378" s="2">
        <f t="shared" si="96"/>
        <v>0</v>
      </c>
      <c r="AI378" s="1">
        <f t="shared" si="97"/>
        <v>122.256</v>
      </c>
      <c r="AJ378" s="1">
        <f t="shared" si="98"/>
        <v>0</v>
      </c>
      <c r="AK378" s="1" t="str">
        <f t="shared" si="99"/>
        <v/>
      </c>
      <c r="AL378" s="1" t="str">
        <f t="shared" si="100"/>
        <v/>
      </c>
      <c r="AM378" s="1" t="str">
        <f t="shared" si="85"/>
        <v/>
      </c>
      <c r="AN378" s="5">
        <f t="shared" si="86"/>
        <v>980.05744000000004</v>
      </c>
      <c r="AO378" s="1" t="str">
        <f t="shared" si="101"/>
        <v/>
      </c>
    </row>
    <row r="379" spans="1:41">
      <c r="A379" t="s">
        <v>1357</v>
      </c>
      <c r="B379" t="s">
        <v>1353</v>
      </c>
      <c r="C379" t="s">
        <v>1358</v>
      </c>
      <c r="D379">
        <v>416</v>
      </c>
      <c r="E379">
        <v>406</v>
      </c>
      <c r="F379">
        <v>1</v>
      </c>
      <c r="G379">
        <v>3</v>
      </c>
      <c r="L379" t="s">
        <v>1359</v>
      </c>
      <c r="M379" t="s">
        <v>1360</v>
      </c>
      <c r="N379" t="s">
        <v>942</v>
      </c>
      <c r="O379">
        <v>0</v>
      </c>
      <c r="P379" t="s">
        <v>289</v>
      </c>
      <c r="Q379" t="s">
        <v>134</v>
      </c>
      <c r="R379">
        <v>10695</v>
      </c>
      <c r="S379" t="s">
        <v>1360</v>
      </c>
      <c r="U379" t="s">
        <v>290</v>
      </c>
      <c r="V379" t="s">
        <v>291</v>
      </c>
      <c r="W379">
        <v>12278082</v>
      </c>
      <c r="X379" t="s">
        <v>680</v>
      </c>
      <c r="Y379">
        <f t="shared" si="87"/>
        <v>0.50668800000000003</v>
      </c>
      <c r="Z379">
        <f t="shared" si="88"/>
        <v>4.9319999999999995</v>
      </c>
      <c r="AA379">
        <f t="shared" si="89"/>
        <v>0</v>
      </c>
      <c r="AB379" s="2">
        <f t="shared" si="90"/>
        <v>9</v>
      </c>
      <c r="AC379" s="2">
        <f t="shared" si="91"/>
        <v>0</v>
      </c>
      <c r="AD379" s="2">
        <f t="shared" si="92"/>
        <v>0</v>
      </c>
      <c r="AE379" s="2">
        <f t="shared" si="93"/>
        <v>0</v>
      </c>
      <c r="AF379" s="2">
        <f t="shared" si="94"/>
        <v>0</v>
      </c>
      <c r="AG379" s="2">
        <f t="shared" si="95"/>
        <v>0</v>
      </c>
      <c r="AH379" s="2">
        <f t="shared" si="96"/>
        <v>0</v>
      </c>
      <c r="AI379" s="1">
        <f t="shared" si="97"/>
        <v>177.55199999999999</v>
      </c>
      <c r="AJ379" s="1">
        <f t="shared" si="98"/>
        <v>0</v>
      </c>
      <c r="AK379" s="1" t="str">
        <f t="shared" si="99"/>
        <v/>
      </c>
      <c r="AL379" s="1" t="str">
        <f t="shared" si="100"/>
        <v/>
      </c>
      <c r="AM379" s="1" t="str">
        <f t="shared" si="85"/>
        <v/>
      </c>
      <c r="AN379" s="5">
        <f t="shared" si="86"/>
        <v>0</v>
      </c>
      <c r="AO379" s="1" t="str">
        <f t="shared" si="101"/>
        <v/>
      </c>
    </row>
    <row r="380" spans="1:41">
      <c r="A380" t="s">
        <v>1361</v>
      </c>
      <c r="B380" t="s">
        <v>1362</v>
      </c>
      <c r="C380" t="s">
        <v>1363</v>
      </c>
      <c r="D380">
        <v>1190</v>
      </c>
      <c r="E380">
        <v>560</v>
      </c>
      <c r="F380">
        <v>0</v>
      </c>
      <c r="G380">
        <v>2</v>
      </c>
      <c r="H380">
        <v>1</v>
      </c>
      <c r="I380">
        <v>1</v>
      </c>
      <c r="J380">
        <v>1</v>
      </c>
      <c r="K380">
        <v>1</v>
      </c>
      <c r="L380" t="s">
        <v>1364</v>
      </c>
      <c r="M380" t="s">
        <v>1365</v>
      </c>
      <c r="N380" t="s">
        <v>1366</v>
      </c>
      <c r="O380">
        <v>0</v>
      </c>
      <c r="P380" t="s">
        <v>271</v>
      </c>
      <c r="Q380" t="s">
        <v>134</v>
      </c>
      <c r="R380">
        <v>10695</v>
      </c>
      <c r="S380" t="s">
        <v>1365</v>
      </c>
      <c r="U380" t="s">
        <v>272</v>
      </c>
      <c r="V380" t="s">
        <v>273</v>
      </c>
      <c r="W380">
        <v>12277857</v>
      </c>
      <c r="X380" t="s">
        <v>1229</v>
      </c>
      <c r="Y380">
        <f t="shared" si="87"/>
        <v>1.3328</v>
      </c>
      <c r="Z380">
        <f t="shared" si="88"/>
        <v>7</v>
      </c>
      <c r="AA380">
        <f t="shared" si="89"/>
        <v>7</v>
      </c>
      <c r="AB380" s="2">
        <f t="shared" si="90"/>
        <v>9</v>
      </c>
      <c r="AC380" s="2">
        <f t="shared" si="91"/>
        <v>0</v>
      </c>
      <c r="AD380" s="2">
        <f t="shared" si="92"/>
        <v>0</v>
      </c>
      <c r="AE380" s="2">
        <f t="shared" si="93"/>
        <v>0</v>
      </c>
      <c r="AF380" s="2">
        <f t="shared" si="94"/>
        <v>0</v>
      </c>
      <c r="AG380" s="2">
        <f t="shared" si="95"/>
        <v>0</v>
      </c>
      <c r="AH380" s="2">
        <f t="shared" si="96"/>
        <v>0</v>
      </c>
      <c r="AI380" s="1">
        <f t="shared" si="97"/>
        <v>252</v>
      </c>
      <c r="AJ380" s="1">
        <f t="shared" si="98"/>
        <v>420</v>
      </c>
      <c r="AK380" s="1" t="str">
        <f t="shared" si="99"/>
        <v/>
      </c>
      <c r="AL380" s="1" t="str">
        <f t="shared" si="100"/>
        <v/>
      </c>
      <c r="AM380" s="1" t="str">
        <f t="shared" si="85"/>
        <v/>
      </c>
      <c r="AN380" s="5">
        <f t="shared" si="86"/>
        <v>0</v>
      </c>
      <c r="AO380" s="1" t="str">
        <f t="shared" si="101"/>
        <v/>
      </c>
    </row>
    <row r="381" spans="1:41">
      <c r="A381" t="s">
        <v>1367</v>
      </c>
      <c r="B381" t="s">
        <v>1368</v>
      </c>
      <c r="C381" t="s">
        <v>1369</v>
      </c>
      <c r="D381">
        <v>432</v>
      </c>
      <c r="E381">
        <v>406</v>
      </c>
      <c r="F381">
        <v>0</v>
      </c>
      <c r="G381">
        <v>3</v>
      </c>
      <c r="L381" t="s">
        <v>1370</v>
      </c>
      <c r="M381" t="s">
        <v>1371</v>
      </c>
      <c r="N381" t="s">
        <v>359</v>
      </c>
      <c r="O381">
        <v>0</v>
      </c>
      <c r="P381" t="s">
        <v>271</v>
      </c>
      <c r="Q381" t="s">
        <v>134</v>
      </c>
      <c r="R381">
        <v>10695</v>
      </c>
      <c r="S381" t="s">
        <v>1371</v>
      </c>
      <c r="U381" t="s">
        <v>272</v>
      </c>
      <c r="V381" t="s">
        <v>273</v>
      </c>
      <c r="W381">
        <v>12278013</v>
      </c>
      <c r="X381" t="s">
        <v>582</v>
      </c>
      <c r="Y381">
        <f t="shared" si="87"/>
        <v>0.52617599999999998</v>
      </c>
      <c r="Z381">
        <f t="shared" si="88"/>
        <v>5.0279999999999996</v>
      </c>
      <c r="AA381">
        <f t="shared" si="89"/>
        <v>0</v>
      </c>
      <c r="AB381" s="2">
        <f t="shared" si="90"/>
        <v>12</v>
      </c>
      <c r="AC381" s="2">
        <f t="shared" si="91"/>
        <v>0</v>
      </c>
      <c r="AD381" s="2">
        <f t="shared" si="92"/>
        <v>0</v>
      </c>
      <c r="AE381" s="2">
        <f t="shared" si="93"/>
        <v>0</v>
      </c>
      <c r="AF381" s="2">
        <f t="shared" si="94"/>
        <v>0</v>
      </c>
      <c r="AG381" s="2">
        <f t="shared" si="95"/>
        <v>9</v>
      </c>
      <c r="AH381" s="2">
        <f t="shared" si="96"/>
        <v>0</v>
      </c>
      <c r="AI381" s="1">
        <f t="shared" si="97"/>
        <v>181.00799999999998</v>
      </c>
      <c r="AJ381" s="1">
        <f t="shared" si="98"/>
        <v>0</v>
      </c>
      <c r="AK381" s="1" t="str">
        <f t="shared" si="99"/>
        <v/>
      </c>
      <c r="AL381" s="1" t="str">
        <f t="shared" si="100"/>
        <v/>
      </c>
      <c r="AM381" s="1" t="str">
        <f t="shared" si="85"/>
        <v/>
      </c>
      <c r="AN381" s="5">
        <f t="shared" si="86"/>
        <v>1800.9855359999999</v>
      </c>
      <c r="AO381" s="1" t="str">
        <f t="shared" si="101"/>
        <v/>
      </c>
    </row>
    <row r="382" spans="1:41">
      <c r="A382" t="s">
        <v>1372</v>
      </c>
      <c r="B382" t="s">
        <v>76</v>
      </c>
      <c r="C382" t="s">
        <v>1373</v>
      </c>
      <c r="D382">
        <v>132</v>
      </c>
      <c r="E382">
        <v>78</v>
      </c>
      <c r="F382">
        <v>0</v>
      </c>
      <c r="G382">
        <v>3</v>
      </c>
      <c r="H382">
        <v>1</v>
      </c>
      <c r="I382">
        <v>1</v>
      </c>
      <c r="J382">
        <v>1</v>
      </c>
      <c r="K382">
        <v>1</v>
      </c>
      <c r="L382" t="s">
        <v>1374</v>
      </c>
      <c r="M382" t="s">
        <v>1375</v>
      </c>
      <c r="N382" t="s">
        <v>80</v>
      </c>
      <c r="O382">
        <v>0</v>
      </c>
      <c r="P382" t="s">
        <v>81</v>
      </c>
      <c r="Q382" t="s">
        <v>82</v>
      </c>
      <c r="R382">
        <v>10641</v>
      </c>
      <c r="S382" t="s">
        <v>1375</v>
      </c>
      <c r="U382" t="s">
        <v>83</v>
      </c>
      <c r="V382" t="s">
        <v>84</v>
      </c>
      <c r="W382">
        <v>12277783</v>
      </c>
      <c r="X382" t="s">
        <v>95</v>
      </c>
      <c r="Y382">
        <f t="shared" si="87"/>
        <v>3.0887999999999999E-2</v>
      </c>
      <c r="Z382">
        <f t="shared" si="88"/>
        <v>1.26</v>
      </c>
      <c r="AA382">
        <f t="shared" si="89"/>
        <v>1.26</v>
      </c>
      <c r="AB382" s="2">
        <f t="shared" si="90"/>
        <v>15</v>
      </c>
      <c r="AC382" s="2">
        <f t="shared" si="91"/>
        <v>12</v>
      </c>
      <c r="AD382" s="2">
        <f t="shared" si="92"/>
        <v>0</v>
      </c>
      <c r="AE382" s="2">
        <f t="shared" si="93"/>
        <v>0</v>
      </c>
      <c r="AF382" s="2">
        <f t="shared" si="94"/>
        <v>9</v>
      </c>
      <c r="AG382" s="2">
        <f t="shared" si="95"/>
        <v>0</v>
      </c>
      <c r="AH382" s="2">
        <f t="shared" si="96"/>
        <v>0</v>
      </c>
      <c r="AI382" s="1">
        <f t="shared" si="97"/>
        <v>45.36</v>
      </c>
      <c r="AJ382" s="1">
        <f t="shared" si="98"/>
        <v>75.599999999999994</v>
      </c>
      <c r="AK382" s="1" t="str">
        <f t="shared" si="99"/>
        <v/>
      </c>
      <c r="AL382" s="1" t="str">
        <f t="shared" si="100"/>
        <v/>
      </c>
      <c r="AM382" s="1">
        <f t="shared" si="85"/>
        <v>390</v>
      </c>
      <c r="AN382" s="5">
        <f t="shared" si="86"/>
        <v>0</v>
      </c>
      <c r="AO382" s="1" t="str">
        <f t="shared" si="101"/>
        <v/>
      </c>
    </row>
    <row r="383" spans="1:41">
      <c r="A383" t="s">
        <v>1376</v>
      </c>
      <c r="B383" t="s">
        <v>76</v>
      </c>
      <c r="C383" t="s">
        <v>1377</v>
      </c>
      <c r="D383">
        <v>400</v>
      </c>
      <c r="E383">
        <v>89</v>
      </c>
      <c r="F383">
        <v>0</v>
      </c>
      <c r="G383">
        <v>3</v>
      </c>
      <c r="H383">
        <v>1</v>
      </c>
      <c r="L383" t="s">
        <v>1378</v>
      </c>
      <c r="M383" t="s">
        <v>1379</v>
      </c>
      <c r="N383" t="s">
        <v>80</v>
      </c>
      <c r="O383">
        <v>0</v>
      </c>
      <c r="P383" t="s">
        <v>104</v>
      </c>
      <c r="Q383" t="s">
        <v>82</v>
      </c>
      <c r="R383">
        <v>10641</v>
      </c>
      <c r="S383" t="s">
        <v>1379</v>
      </c>
      <c r="U383" t="s">
        <v>105</v>
      </c>
      <c r="V383" t="s">
        <v>106</v>
      </c>
      <c r="W383">
        <v>12279274</v>
      </c>
      <c r="X383" t="s">
        <v>104</v>
      </c>
      <c r="Y383">
        <f t="shared" si="87"/>
        <v>0.10680000000000001</v>
      </c>
      <c r="Z383">
        <f t="shared" si="88"/>
        <v>2.9340000000000002</v>
      </c>
      <c r="AA383">
        <f t="shared" si="89"/>
        <v>1.2000000000000002</v>
      </c>
      <c r="AB383" s="2">
        <f t="shared" si="90"/>
        <v>18</v>
      </c>
      <c r="AC383" s="2">
        <f t="shared" si="91"/>
        <v>12</v>
      </c>
      <c r="AD383" s="2">
        <f t="shared" si="92"/>
        <v>0</v>
      </c>
      <c r="AE383" s="2">
        <f t="shared" si="93"/>
        <v>0</v>
      </c>
      <c r="AF383" s="2">
        <f t="shared" si="94"/>
        <v>9</v>
      </c>
      <c r="AG383" s="2">
        <f t="shared" si="95"/>
        <v>0</v>
      </c>
      <c r="AH383" s="2">
        <f t="shared" si="96"/>
        <v>0</v>
      </c>
      <c r="AI383" s="1">
        <f t="shared" si="97"/>
        <v>105.62400000000001</v>
      </c>
      <c r="AJ383" s="1">
        <f t="shared" si="98"/>
        <v>72.000000000000014</v>
      </c>
      <c r="AK383" s="1" t="str">
        <f t="shared" si="99"/>
        <v/>
      </c>
      <c r="AL383" s="1" t="str">
        <f t="shared" si="100"/>
        <v/>
      </c>
      <c r="AM383" s="1">
        <f t="shared" si="85"/>
        <v>390</v>
      </c>
      <c r="AN383" s="5">
        <f t="shared" si="86"/>
        <v>0</v>
      </c>
      <c r="AO383" s="1" t="str">
        <f t="shared" si="101"/>
        <v/>
      </c>
    </row>
    <row r="384" spans="1:41">
      <c r="A384" t="s">
        <v>1380</v>
      </c>
      <c r="B384" t="s">
        <v>76</v>
      </c>
      <c r="C384" t="s">
        <v>1381</v>
      </c>
      <c r="D384">
        <v>400</v>
      </c>
      <c r="E384">
        <v>89</v>
      </c>
      <c r="F384">
        <v>0</v>
      </c>
      <c r="G384">
        <v>3</v>
      </c>
      <c r="H384">
        <v>1</v>
      </c>
      <c r="L384" t="s">
        <v>1382</v>
      </c>
      <c r="M384" t="s">
        <v>1383</v>
      </c>
      <c r="N384" t="s">
        <v>80</v>
      </c>
      <c r="O384">
        <v>0</v>
      </c>
      <c r="P384" t="s">
        <v>104</v>
      </c>
      <c r="Q384" t="s">
        <v>82</v>
      </c>
      <c r="R384">
        <v>10641</v>
      </c>
      <c r="S384" t="s">
        <v>1383</v>
      </c>
      <c r="U384" t="s">
        <v>105</v>
      </c>
      <c r="V384" t="s">
        <v>106</v>
      </c>
      <c r="W384">
        <v>12279271</v>
      </c>
      <c r="X384" t="s">
        <v>104</v>
      </c>
      <c r="Y384">
        <f t="shared" si="87"/>
        <v>0.10680000000000001</v>
      </c>
      <c r="Z384">
        <f t="shared" si="88"/>
        <v>2.9340000000000002</v>
      </c>
      <c r="AA384">
        <f t="shared" si="89"/>
        <v>1.2000000000000002</v>
      </c>
      <c r="AB384" s="2">
        <f t="shared" si="90"/>
        <v>18</v>
      </c>
      <c r="AC384" s="2">
        <f t="shared" si="91"/>
        <v>12</v>
      </c>
      <c r="AD384" s="2">
        <f t="shared" si="92"/>
        <v>0</v>
      </c>
      <c r="AE384" s="2">
        <f t="shared" si="93"/>
        <v>0</v>
      </c>
      <c r="AF384" s="2">
        <f t="shared" si="94"/>
        <v>9</v>
      </c>
      <c r="AG384" s="2">
        <f t="shared" si="95"/>
        <v>0</v>
      </c>
      <c r="AH384" s="2">
        <f t="shared" si="96"/>
        <v>0</v>
      </c>
      <c r="AI384" s="1">
        <f t="shared" si="97"/>
        <v>105.62400000000001</v>
      </c>
      <c r="AJ384" s="1">
        <f t="shared" si="98"/>
        <v>72.000000000000014</v>
      </c>
      <c r="AK384" s="1" t="str">
        <f t="shared" si="99"/>
        <v/>
      </c>
      <c r="AL384" s="1" t="str">
        <f t="shared" si="100"/>
        <v/>
      </c>
      <c r="AM384" s="1">
        <f t="shared" si="85"/>
        <v>390</v>
      </c>
      <c r="AN384" s="5">
        <f t="shared" si="86"/>
        <v>0</v>
      </c>
      <c r="AO384" s="1" t="str">
        <f t="shared" si="101"/>
        <v/>
      </c>
    </row>
    <row r="385" spans="1:41">
      <c r="A385" t="s">
        <v>1384</v>
      </c>
      <c r="B385" t="s">
        <v>76</v>
      </c>
      <c r="C385" t="s">
        <v>1385</v>
      </c>
      <c r="D385">
        <v>372</v>
      </c>
      <c r="E385">
        <v>76</v>
      </c>
      <c r="F385">
        <v>0</v>
      </c>
      <c r="G385">
        <v>3</v>
      </c>
      <c r="H385">
        <v>1</v>
      </c>
      <c r="L385" t="s">
        <v>1386</v>
      </c>
      <c r="M385" t="s">
        <v>1387</v>
      </c>
      <c r="N385" t="s">
        <v>80</v>
      </c>
      <c r="O385">
        <v>0</v>
      </c>
      <c r="P385" t="s">
        <v>104</v>
      </c>
      <c r="Q385" t="s">
        <v>82</v>
      </c>
      <c r="R385">
        <v>10641</v>
      </c>
      <c r="S385" t="s">
        <v>1387</v>
      </c>
      <c r="U385" t="s">
        <v>105</v>
      </c>
      <c r="V385" t="s">
        <v>106</v>
      </c>
      <c r="W385">
        <v>12279283</v>
      </c>
      <c r="X385" t="s">
        <v>104</v>
      </c>
      <c r="Y385">
        <f t="shared" si="87"/>
        <v>8.4816000000000003E-2</v>
      </c>
      <c r="Z385">
        <f t="shared" si="88"/>
        <v>2.6880000000000002</v>
      </c>
      <c r="AA385">
        <f t="shared" si="89"/>
        <v>1.1160000000000001</v>
      </c>
      <c r="AB385" s="2">
        <f t="shared" si="90"/>
        <v>15</v>
      </c>
      <c r="AC385" s="2">
        <f t="shared" si="91"/>
        <v>12</v>
      </c>
      <c r="AD385" s="2">
        <f t="shared" si="92"/>
        <v>0</v>
      </c>
      <c r="AE385" s="2">
        <f t="shared" si="93"/>
        <v>0</v>
      </c>
      <c r="AF385" s="2">
        <f t="shared" si="94"/>
        <v>9</v>
      </c>
      <c r="AG385" s="2">
        <f t="shared" si="95"/>
        <v>0</v>
      </c>
      <c r="AH385" s="2">
        <f t="shared" si="96"/>
        <v>0</v>
      </c>
      <c r="AI385" s="1">
        <f t="shared" si="97"/>
        <v>96.768000000000001</v>
      </c>
      <c r="AJ385" s="1">
        <f t="shared" si="98"/>
        <v>66.960000000000008</v>
      </c>
      <c r="AK385" s="1" t="str">
        <f t="shared" si="99"/>
        <v/>
      </c>
      <c r="AL385" s="1" t="str">
        <f t="shared" si="100"/>
        <v/>
      </c>
      <c r="AM385" s="1">
        <f t="shared" si="85"/>
        <v>390</v>
      </c>
      <c r="AN385" s="5">
        <f t="shared" si="86"/>
        <v>0</v>
      </c>
      <c r="AO385" s="1" t="str">
        <f t="shared" si="101"/>
        <v/>
      </c>
    </row>
    <row r="386" spans="1:41">
      <c r="A386" t="s">
        <v>1388</v>
      </c>
      <c r="B386" t="s">
        <v>76</v>
      </c>
      <c r="C386" t="s">
        <v>1389</v>
      </c>
      <c r="D386">
        <v>426</v>
      </c>
      <c r="E386">
        <v>79</v>
      </c>
      <c r="F386">
        <v>0</v>
      </c>
      <c r="G386">
        <v>4</v>
      </c>
      <c r="H386">
        <v>1</v>
      </c>
      <c r="L386" t="s">
        <v>1390</v>
      </c>
      <c r="M386" t="s">
        <v>1391</v>
      </c>
      <c r="N386" t="s">
        <v>80</v>
      </c>
      <c r="O386">
        <v>0</v>
      </c>
      <c r="P386" t="s">
        <v>133</v>
      </c>
      <c r="Q386" t="s">
        <v>134</v>
      </c>
      <c r="R386">
        <v>10695</v>
      </c>
      <c r="S386" t="s">
        <v>1391</v>
      </c>
      <c r="U386" t="s">
        <v>135</v>
      </c>
      <c r="V386" t="s">
        <v>136</v>
      </c>
      <c r="W386">
        <v>12278876</v>
      </c>
      <c r="X386" t="s">
        <v>137</v>
      </c>
      <c r="Y386">
        <f t="shared" si="87"/>
        <v>0.13461600000000001</v>
      </c>
      <c r="Z386">
        <f t="shared" si="88"/>
        <v>4.04</v>
      </c>
      <c r="AA386">
        <f t="shared" si="89"/>
        <v>1.704</v>
      </c>
      <c r="AB386" s="2">
        <f t="shared" si="90"/>
        <v>16</v>
      </c>
      <c r="AC386" s="2">
        <f t="shared" si="91"/>
        <v>13</v>
      </c>
      <c r="AD386" s="2">
        <f t="shared" si="92"/>
        <v>0</v>
      </c>
      <c r="AE386" s="2">
        <f t="shared" si="93"/>
        <v>0</v>
      </c>
      <c r="AF386" s="2">
        <f t="shared" si="94"/>
        <v>10</v>
      </c>
      <c r="AG386" s="2">
        <f t="shared" si="95"/>
        <v>0</v>
      </c>
      <c r="AH386" s="2">
        <f t="shared" si="96"/>
        <v>0</v>
      </c>
      <c r="AI386" s="1">
        <f t="shared" si="97"/>
        <v>145.44</v>
      </c>
      <c r="AJ386" s="1">
        <f t="shared" si="98"/>
        <v>102.24</v>
      </c>
      <c r="AK386" s="1" t="str">
        <f t="shared" si="99"/>
        <v/>
      </c>
      <c r="AL386" s="1" t="str">
        <f t="shared" si="100"/>
        <v/>
      </c>
      <c r="AM386" s="1">
        <f t="shared" si="85"/>
        <v>520</v>
      </c>
      <c r="AN386" s="5">
        <f t="shared" si="86"/>
        <v>0</v>
      </c>
      <c r="AO386" s="1" t="str">
        <f t="shared" si="101"/>
        <v/>
      </c>
    </row>
    <row r="387" spans="1:41">
      <c r="A387" t="s">
        <v>1392</v>
      </c>
      <c r="B387" t="s">
        <v>76</v>
      </c>
      <c r="C387" t="s">
        <v>1393</v>
      </c>
      <c r="D387">
        <v>406</v>
      </c>
      <c r="E387">
        <v>58</v>
      </c>
      <c r="F387">
        <v>0</v>
      </c>
      <c r="G387">
        <v>4</v>
      </c>
      <c r="H387">
        <v>1</v>
      </c>
      <c r="I387">
        <v>1</v>
      </c>
      <c r="L387" t="s">
        <v>1394</v>
      </c>
      <c r="M387" t="s">
        <v>1395</v>
      </c>
      <c r="N387" t="s">
        <v>80</v>
      </c>
      <c r="O387">
        <v>0</v>
      </c>
      <c r="P387" t="s">
        <v>169</v>
      </c>
      <c r="Q387" t="s">
        <v>134</v>
      </c>
      <c r="R387">
        <v>10695</v>
      </c>
      <c r="S387" t="s">
        <v>1395</v>
      </c>
      <c r="U387" t="s">
        <v>170</v>
      </c>
      <c r="V387" t="s">
        <v>171</v>
      </c>
      <c r="W387">
        <v>12279235</v>
      </c>
      <c r="X387" t="s">
        <v>169</v>
      </c>
      <c r="Y387">
        <f t="shared" si="87"/>
        <v>9.4191999999999998E-2</v>
      </c>
      <c r="Z387">
        <f t="shared" si="88"/>
        <v>3.7120000000000002</v>
      </c>
      <c r="AA387">
        <f t="shared" si="89"/>
        <v>3.2480000000000002</v>
      </c>
      <c r="AB387" s="2">
        <f t="shared" si="90"/>
        <v>17</v>
      </c>
      <c r="AC387" s="2">
        <f t="shared" si="91"/>
        <v>14</v>
      </c>
      <c r="AD387" s="2">
        <f t="shared" si="92"/>
        <v>0</v>
      </c>
      <c r="AE387" s="2">
        <f t="shared" si="93"/>
        <v>0</v>
      </c>
      <c r="AF387" s="2">
        <f t="shared" si="94"/>
        <v>0</v>
      </c>
      <c r="AG387" s="2">
        <f t="shared" si="95"/>
        <v>0</v>
      </c>
      <c r="AH387" s="2">
        <f t="shared" si="96"/>
        <v>0</v>
      </c>
      <c r="AI387" s="1">
        <f t="shared" si="97"/>
        <v>133.63200000000001</v>
      </c>
      <c r="AJ387" s="1">
        <f t="shared" si="98"/>
        <v>194.88000000000002</v>
      </c>
      <c r="AK387" s="1" t="str">
        <f t="shared" si="99"/>
        <v/>
      </c>
      <c r="AL387" s="1" t="str">
        <f t="shared" si="100"/>
        <v/>
      </c>
      <c r="AM387" s="1" t="str">
        <f t="shared" ref="AM387:AM450" si="102">IF(AF387&gt;0,G387*(130),"")</f>
        <v/>
      </c>
      <c r="AN387" s="5">
        <f t="shared" ref="AN387:AN450" si="103">IF(AG387&gt;0,G387*252)+IF(AG387&gt;0,G387*Y387*662)</f>
        <v>0</v>
      </c>
      <c r="AO387" s="1" t="str">
        <f t="shared" si="101"/>
        <v/>
      </c>
    </row>
    <row r="388" spans="1:41">
      <c r="A388" t="s">
        <v>1396</v>
      </c>
      <c r="B388" t="s">
        <v>76</v>
      </c>
      <c r="C388" t="s">
        <v>1397</v>
      </c>
      <c r="D388">
        <v>384</v>
      </c>
      <c r="E388">
        <v>102</v>
      </c>
      <c r="F388">
        <v>0</v>
      </c>
      <c r="G388">
        <v>1</v>
      </c>
      <c r="H388">
        <v>1</v>
      </c>
      <c r="I388">
        <v>1</v>
      </c>
      <c r="J388">
        <v>1</v>
      </c>
      <c r="K388">
        <v>1</v>
      </c>
      <c r="L388" t="s">
        <v>1398</v>
      </c>
      <c r="M388" t="s">
        <v>1399</v>
      </c>
      <c r="N388" t="s">
        <v>220</v>
      </c>
      <c r="O388">
        <v>0</v>
      </c>
      <c r="P388" t="s">
        <v>254</v>
      </c>
      <c r="Q388" t="s">
        <v>82</v>
      </c>
      <c r="R388">
        <v>10641</v>
      </c>
      <c r="S388" t="s">
        <v>1399</v>
      </c>
      <c r="U388" t="s">
        <v>83</v>
      </c>
      <c r="V388" t="s">
        <v>255</v>
      </c>
      <c r="W388">
        <v>12276466</v>
      </c>
      <c r="X388" t="s">
        <v>256</v>
      </c>
      <c r="Y388">
        <f t="shared" ref="Y388:Y451" si="104">(D388*E388)*G388/1000000</f>
        <v>3.9168000000000001E-2</v>
      </c>
      <c r="Z388">
        <f t="shared" ref="Z388:Z451" si="105">(((D388+E388)*2)/1000)*G388</f>
        <v>0.97199999999999998</v>
      </c>
      <c r="AA388">
        <f t="shared" ref="AA388:AA451" si="106">(((D388*H388)+(D388*I388)+(E388*J388)+(E388*K388))/1000)*G388</f>
        <v>0.97199999999999998</v>
      </c>
      <c r="AB388" s="2">
        <f t="shared" ref="AB388:AB451" si="107">SEARCH($AB$1,C388)</f>
        <v>25</v>
      </c>
      <c r="AC388" s="2">
        <f t="shared" ref="AC388:AC451" si="108">IFERROR(SEARCH($AC$1,C388),0)</f>
        <v>18</v>
      </c>
      <c r="AD388" s="2">
        <f t="shared" ref="AD388:AD451" si="109">IFERROR(SEARCH($AD$1,C388),0)</f>
        <v>0</v>
      </c>
      <c r="AE388" s="2">
        <f t="shared" ref="AE388:AE451" si="110">IFERROR(SEARCH($AE$1,C388),0)</f>
        <v>0</v>
      </c>
      <c r="AF388" s="2">
        <f t="shared" ref="AF388:AF451" si="111">IFERROR(SEARCH($AF$1,C388),0)</f>
        <v>0</v>
      </c>
      <c r="AG388" s="2">
        <f t="shared" ref="AG388:AG451" si="112">IFERROR(SEARCH($AG$1,C388),0)</f>
        <v>0</v>
      </c>
      <c r="AH388" s="2">
        <f t="shared" ref="AH388:AH451" si="113">IFERROR(SEARCH($AH$1,C388),0)</f>
        <v>0</v>
      </c>
      <c r="AI388" s="1">
        <f t="shared" ref="AI388:AI451" si="114">Z388*36</f>
        <v>34.991999999999997</v>
      </c>
      <c r="AJ388" s="1">
        <f t="shared" ref="AJ388:AJ451" si="115">AA388*60</f>
        <v>58.32</v>
      </c>
      <c r="AK388" s="1" t="str">
        <f t="shared" ref="AK388:AK451" si="116">IF(AD388&gt;0,G388*220,"")</f>
        <v/>
      </c>
      <c r="AL388" s="1" t="str">
        <f t="shared" ref="AL388:AL451" si="117">IF(AE388&gt;0,G388*(240),"")</f>
        <v/>
      </c>
      <c r="AM388" s="1" t="str">
        <f t="shared" si="102"/>
        <v/>
      </c>
      <c r="AN388" s="5">
        <f t="shared" si="103"/>
        <v>0</v>
      </c>
      <c r="AO388" s="1" t="str">
        <f t="shared" ref="AO388:AO451" si="118">IF(AH388&gt;0,G388*4800,"")</f>
        <v/>
      </c>
    </row>
    <row r="389" spans="1:41">
      <c r="A389" t="s">
        <v>1400</v>
      </c>
      <c r="B389" t="s">
        <v>266</v>
      </c>
      <c r="C389" t="s">
        <v>1401</v>
      </c>
      <c r="D389">
        <v>32</v>
      </c>
      <c r="E389">
        <v>16</v>
      </c>
      <c r="F389">
        <v>0</v>
      </c>
      <c r="G389">
        <v>4</v>
      </c>
      <c r="H389">
        <v>1</v>
      </c>
      <c r="I389">
        <v>1</v>
      </c>
      <c r="J389">
        <v>1</v>
      </c>
      <c r="K389">
        <v>1</v>
      </c>
      <c r="L389" t="s">
        <v>1402</v>
      </c>
      <c r="M389" t="s">
        <v>1403</v>
      </c>
      <c r="N389" t="s">
        <v>581</v>
      </c>
      <c r="O389">
        <v>0</v>
      </c>
      <c r="P389" t="s">
        <v>271</v>
      </c>
      <c r="Q389" t="s">
        <v>134</v>
      </c>
      <c r="R389">
        <v>10695</v>
      </c>
      <c r="S389" t="s">
        <v>1403</v>
      </c>
      <c r="U389" t="s">
        <v>272</v>
      </c>
      <c r="V389" t="s">
        <v>273</v>
      </c>
      <c r="W389">
        <v>12277888</v>
      </c>
      <c r="X389" t="s">
        <v>284</v>
      </c>
      <c r="Y389">
        <f t="shared" si="104"/>
        <v>2.0479999999999999E-3</v>
      </c>
      <c r="Z389">
        <f t="shared" si="105"/>
        <v>0.38400000000000001</v>
      </c>
      <c r="AA389">
        <f t="shared" si="106"/>
        <v>0.38400000000000001</v>
      </c>
      <c r="AB389" s="2">
        <f t="shared" si="107"/>
        <v>9</v>
      </c>
      <c r="AC389" s="2">
        <f t="shared" si="108"/>
        <v>0</v>
      </c>
      <c r="AD389" s="2">
        <f t="shared" si="109"/>
        <v>0</v>
      </c>
      <c r="AE389" s="2">
        <f t="shared" si="110"/>
        <v>0</v>
      </c>
      <c r="AF389" s="2">
        <f t="shared" si="111"/>
        <v>0</v>
      </c>
      <c r="AG389" s="2">
        <f t="shared" si="112"/>
        <v>0</v>
      </c>
      <c r="AH389" s="2">
        <f t="shared" si="113"/>
        <v>0</v>
      </c>
      <c r="AI389" s="1">
        <f t="shared" si="114"/>
        <v>13.824</v>
      </c>
      <c r="AJ389" s="1">
        <f t="shared" si="115"/>
        <v>23.04</v>
      </c>
      <c r="AK389" s="1" t="str">
        <f t="shared" si="116"/>
        <v/>
      </c>
      <c r="AL389" s="1" t="str">
        <f t="shared" si="117"/>
        <v/>
      </c>
      <c r="AM389" s="1" t="str">
        <f t="shared" si="102"/>
        <v/>
      </c>
      <c r="AN389" s="5">
        <f t="shared" si="103"/>
        <v>0</v>
      </c>
      <c r="AO389" s="1" t="str">
        <f t="shared" si="118"/>
        <v/>
      </c>
    </row>
    <row r="390" spans="1:41">
      <c r="A390" t="s">
        <v>1404</v>
      </c>
      <c r="B390" t="s">
        <v>266</v>
      </c>
      <c r="C390" t="s">
        <v>1405</v>
      </c>
      <c r="D390">
        <v>32</v>
      </c>
      <c r="E390">
        <v>16</v>
      </c>
      <c r="F390">
        <v>1</v>
      </c>
      <c r="G390">
        <v>5</v>
      </c>
      <c r="H390">
        <v>1</v>
      </c>
      <c r="I390">
        <v>1</v>
      </c>
      <c r="J390">
        <v>1</v>
      </c>
      <c r="K390">
        <v>1</v>
      </c>
      <c r="L390" t="s">
        <v>1406</v>
      </c>
      <c r="M390" t="s">
        <v>1407</v>
      </c>
      <c r="N390" t="s">
        <v>283</v>
      </c>
      <c r="O390">
        <v>0</v>
      </c>
      <c r="P390" t="s">
        <v>271</v>
      </c>
      <c r="Q390" t="s">
        <v>134</v>
      </c>
      <c r="R390">
        <v>10695</v>
      </c>
      <c r="S390" t="s">
        <v>1407</v>
      </c>
      <c r="U390" t="s">
        <v>272</v>
      </c>
      <c r="V390" t="s">
        <v>273</v>
      </c>
      <c r="W390">
        <v>12277859</v>
      </c>
      <c r="X390" t="s">
        <v>1229</v>
      </c>
      <c r="Y390">
        <f t="shared" si="104"/>
        <v>2.5600000000000002E-3</v>
      </c>
      <c r="Z390">
        <f t="shared" si="105"/>
        <v>0.48</v>
      </c>
      <c r="AA390">
        <f t="shared" si="106"/>
        <v>0.48</v>
      </c>
      <c r="AB390" s="2">
        <f t="shared" si="107"/>
        <v>9</v>
      </c>
      <c r="AC390" s="2">
        <f t="shared" si="108"/>
        <v>0</v>
      </c>
      <c r="AD390" s="2">
        <f t="shared" si="109"/>
        <v>0</v>
      </c>
      <c r="AE390" s="2">
        <f t="shared" si="110"/>
        <v>0</v>
      </c>
      <c r="AF390" s="2">
        <f t="shared" si="111"/>
        <v>0</v>
      </c>
      <c r="AG390" s="2">
        <f t="shared" si="112"/>
        <v>0</v>
      </c>
      <c r="AH390" s="2">
        <f t="shared" si="113"/>
        <v>0</v>
      </c>
      <c r="AI390" s="1">
        <f t="shared" si="114"/>
        <v>17.28</v>
      </c>
      <c r="AJ390" s="1">
        <f t="shared" si="115"/>
        <v>28.799999999999997</v>
      </c>
      <c r="AK390" s="1" t="str">
        <f t="shared" si="116"/>
        <v/>
      </c>
      <c r="AL390" s="1" t="str">
        <f t="shared" si="117"/>
        <v/>
      </c>
      <c r="AM390" s="1" t="str">
        <f t="shared" si="102"/>
        <v/>
      </c>
      <c r="AN390" s="5">
        <f t="shared" si="103"/>
        <v>0</v>
      </c>
      <c r="AO390" s="1" t="str">
        <f t="shared" si="118"/>
        <v/>
      </c>
    </row>
    <row r="391" spans="1:41">
      <c r="A391" t="s">
        <v>1408</v>
      </c>
      <c r="B391" t="s">
        <v>266</v>
      </c>
      <c r="C391" t="s">
        <v>1409</v>
      </c>
      <c r="D391">
        <v>450</v>
      </c>
      <c r="E391">
        <v>60</v>
      </c>
      <c r="F391">
        <v>1</v>
      </c>
      <c r="G391">
        <v>8</v>
      </c>
      <c r="L391" t="s">
        <v>1410</v>
      </c>
      <c r="M391" t="s">
        <v>1411</v>
      </c>
      <c r="N391" t="s">
        <v>283</v>
      </c>
      <c r="O391">
        <v>0</v>
      </c>
      <c r="P391" t="s">
        <v>48</v>
      </c>
      <c r="Q391" t="s">
        <v>49</v>
      </c>
      <c r="R391">
        <v>3450</v>
      </c>
      <c r="S391" t="s">
        <v>1411</v>
      </c>
      <c r="U391" t="s">
        <v>50</v>
      </c>
      <c r="V391" t="s">
        <v>51</v>
      </c>
      <c r="W391">
        <v>12279365</v>
      </c>
      <c r="X391" t="s">
        <v>333</v>
      </c>
      <c r="Y391">
        <f t="shared" si="104"/>
        <v>0.216</v>
      </c>
      <c r="Z391">
        <f t="shared" si="105"/>
        <v>8.16</v>
      </c>
      <c r="AA391">
        <f t="shared" si="106"/>
        <v>0</v>
      </c>
      <c r="AB391" s="2">
        <f t="shared" si="107"/>
        <v>10</v>
      </c>
      <c r="AC391" s="2">
        <f t="shared" si="108"/>
        <v>0</v>
      </c>
      <c r="AD391" s="2">
        <f t="shared" si="109"/>
        <v>0</v>
      </c>
      <c r="AE391" s="2">
        <f t="shared" si="110"/>
        <v>0</v>
      </c>
      <c r="AF391" s="2">
        <f t="shared" si="111"/>
        <v>0</v>
      </c>
      <c r="AG391" s="2">
        <f t="shared" si="112"/>
        <v>0</v>
      </c>
      <c r="AH391" s="2">
        <f t="shared" si="113"/>
        <v>0</v>
      </c>
      <c r="AI391" s="1">
        <f t="shared" si="114"/>
        <v>293.76</v>
      </c>
      <c r="AJ391" s="1">
        <f t="shared" si="115"/>
        <v>0</v>
      </c>
      <c r="AK391" s="1" t="str">
        <f t="shared" si="116"/>
        <v/>
      </c>
      <c r="AL391" s="1" t="str">
        <f t="shared" si="117"/>
        <v/>
      </c>
      <c r="AM391" s="1" t="str">
        <f t="shared" si="102"/>
        <v/>
      </c>
      <c r="AN391" s="5">
        <f t="shared" si="103"/>
        <v>0</v>
      </c>
      <c r="AO391" s="1" t="str">
        <f t="shared" si="118"/>
        <v/>
      </c>
    </row>
    <row r="392" spans="1:41">
      <c r="A392" t="s">
        <v>1408</v>
      </c>
      <c r="B392" t="s">
        <v>266</v>
      </c>
      <c r="C392" t="s">
        <v>1412</v>
      </c>
      <c r="D392">
        <v>450</v>
      </c>
      <c r="E392">
        <v>60</v>
      </c>
      <c r="F392">
        <v>1</v>
      </c>
      <c r="G392">
        <v>4</v>
      </c>
      <c r="L392" t="s">
        <v>1410</v>
      </c>
      <c r="M392" t="s">
        <v>1411</v>
      </c>
      <c r="N392" t="s">
        <v>283</v>
      </c>
      <c r="O392">
        <v>0</v>
      </c>
      <c r="P392" t="s">
        <v>54</v>
      </c>
      <c r="Q392" t="s">
        <v>49</v>
      </c>
      <c r="R392">
        <v>3450</v>
      </c>
      <c r="S392" t="s">
        <v>1411</v>
      </c>
      <c r="U392" t="s">
        <v>50</v>
      </c>
      <c r="V392" t="s">
        <v>51</v>
      </c>
      <c r="W392">
        <v>12279468</v>
      </c>
      <c r="X392" t="s">
        <v>333</v>
      </c>
      <c r="Y392">
        <f t="shared" si="104"/>
        <v>0.108</v>
      </c>
      <c r="Z392">
        <f t="shared" si="105"/>
        <v>4.08</v>
      </c>
      <c r="AA392">
        <f t="shared" si="106"/>
        <v>0</v>
      </c>
      <c r="AB392" s="2">
        <f t="shared" si="107"/>
        <v>10</v>
      </c>
      <c r="AC392" s="2">
        <f t="shared" si="108"/>
        <v>0</v>
      </c>
      <c r="AD392" s="2">
        <f t="shared" si="109"/>
        <v>0</v>
      </c>
      <c r="AE392" s="2">
        <f t="shared" si="110"/>
        <v>0</v>
      </c>
      <c r="AF392" s="2">
        <f t="shared" si="111"/>
        <v>0</v>
      </c>
      <c r="AG392" s="2">
        <f t="shared" si="112"/>
        <v>0</v>
      </c>
      <c r="AH392" s="2">
        <f t="shared" si="113"/>
        <v>0</v>
      </c>
      <c r="AI392" s="1">
        <f t="shared" si="114"/>
        <v>146.88</v>
      </c>
      <c r="AJ392" s="1">
        <f t="shared" si="115"/>
        <v>0</v>
      </c>
      <c r="AK392" s="1" t="str">
        <f t="shared" si="116"/>
        <v/>
      </c>
      <c r="AL392" s="1" t="str">
        <f t="shared" si="117"/>
        <v/>
      </c>
      <c r="AM392" s="1" t="str">
        <f t="shared" si="102"/>
        <v/>
      </c>
      <c r="AN392" s="5">
        <f t="shared" si="103"/>
        <v>0</v>
      </c>
      <c r="AO392" s="1" t="str">
        <f t="shared" si="118"/>
        <v/>
      </c>
    </row>
    <row r="393" spans="1:41">
      <c r="A393" t="s">
        <v>1408</v>
      </c>
      <c r="B393" t="s">
        <v>266</v>
      </c>
      <c r="C393" t="s">
        <v>1412</v>
      </c>
      <c r="D393">
        <v>450</v>
      </c>
      <c r="E393">
        <v>60</v>
      </c>
      <c r="F393">
        <v>1</v>
      </c>
      <c r="G393">
        <v>4</v>
      </c>
      <c r="L393" t="s">
        <v>1410</v>
      </c>
      <c r="M393" t="s">
        <v>1411</v>
      </c>
      <c r="N393" t="s">
        <v>283</v>
      </c>
      <c r="O393">
        <v>0</v>
      </c>
      <c r="P393" t="s">
        <v>54</v>
      </c>
      <c r="Q393" t="s">
        <v>49</v>
      </c>
      <c r="R393">
        <v>3450</v>
      </c>
      <c r="S393" t="s">
        <v>1411</v>
      </c>
      <c r="U393" t="s">
        <v>50</v>
      </c>
      <c r="V393" t="s">
        <v>51</v>
      </c>
      <c r="W393">
        <v>12279571</v>
      </c>
      <c r="X393" t="s">
        <v>333</v>
      </c>
      <c r="Y393">
        <f t="shared" si="104"/>
        <v>0.108</v>
      </c>
      <c r="Z393">
        <f t="shared" si="105"/>
        <v>4.08</v>
      </c>
      <c r="AA393">
        <f t="shared" si="106"/>
        <v>0</v>
      </c>
      <c r="AB393" s="2">
        <f t="shared" si="107"/>
        <v>10</v>
      </c>
      <c r="AC393" s="2">
        <f t="shared" si="108"/>
        <v>0</v>
      </c>
      <c r="AD393" s="2">
        <f t="shared" si="109"/>
        <v>0</v>
      </c>
      <c r="AE393" s="2">
        <f t="shared" si="110"/>
        <v>0</v>
      </c>
      <c r="AF393" s="2">
        <f t="shared" si="111"/>
        <v>0</v>
      </c>
      <c r="AG393" s="2">
        <f t="shared" si="112"/>
        <v>0</v>
      </c>
      <c r="AH393" s="2">
        <f t="shared" si="113"/>
        <v>0</v>
      </c>
      <c r="AI393" s="1">
        <f t="shared" si="114"/>
        <v>146.88</v>
      </c>
      <c r="AJ393" s="1">
        <f t="shared" si="115"/>
        <v>0</v>
      </c>
      <c r="AK393" s="1" t="str">
        <f t="shared" si="116"/>
        <v/>
      </c>
      <c r="AL393" s="1" t="str">
        <f t="shared" si="117"/>
        <v/>
      </c>
      <c r="AM393" s="1" t="str">
        <f t="shared" si="102"/>
        <v/>
      </c>
      <c r="AN393" s="5">
        <f t="shared" si="103"/>
        <v>0</v>
      </c>
      <c r="AO393" s="1" t="str">
        <f t="shared" si="118"/>
        <v/>
      </c>
    </row>
    <row r="394" spans="1:41">
      <c r="A394" t="s">
        <v>1413</v>
      </c>
      <c r="B394" t="s">
        <v>577</v>
      </c>
      <c r="C394" t="s">
        <v>1414</v>
      </c>
      <c r="D394">
        <v>68</v>
      </c>
      <c r="E394">
        <v>66</v>
      </c>
      <c r="F394">
        <v>0</v>
      </c>
      <c r="G394">
        <v>2</v>
      </c>
      <c r="H394">
        <v>1</v>
      </c>
      <c r="I394">
        <v>1</v>
      </c>
      <c r="K394">
        <v>1</v>
      </c>
      <c r="L394" t="s">
        <v>1415</v>
      </c>
      <c r="M394" t="s">
        <v>1416</v>
      </c>
      <c r="N394" t="s">
        <v>581</v>
      </c>
      <c r="O394">
        <v>0</v>
      </c>
      <c r="P394" t="s">
        <v>271</v>
      </c>
      <c r="Q394" t="s">
        <v>134</v>
      </c>
      <c r="R394">
        <v>10695</v>
      </c>
      <c r="S394" t="s">
        <v>1416</v>
      </c>
      <c r="U394" t="s">
        <v>272</v>
      </c>
      <c r="V394" t="s">
        <v>273</v>
      </c>
      <c r="W394">
        <v>12278022</v>
      </c>
      <c r="X394" t="s">
        <v>274</v>
      </c>
      <c r="Y394">
        <f t="shared" si="104"/>
        <v>8.9759999999999996E-3</v>
      </c>
      <c r="Z394">
        <f t="shared" si="105"/>
        <v>0.53600000000000003</v>
      </c>
      <c r="AA394">
        <f t="shared" si="106"/>
        <v>0.40400000000000003</v>
      </c>
      <c r="AB394" s="2">
        <f t="shared" si="107"/>
        <v>15</v>
      </c>
      <c r="AC394" s="2">
        <f t="shared" si="108"/>
        <v>12</v>
      </c>
      <c r="AD394" s="2">
        <f t="shared" si="109"/>
        <v>0</v>
      </c>
      <c r="AE394" s="2">
        <f t="shared" si="110"/>
        <v>0</v>
      </c>
      <c r="AF394" s="2">
        <f t="shared" si="111"/>
        <v>9</v>
      </c>
      <c r="AG394" s="2">
        <f t="shared" si="112"/>
        <v>0</v>
      </c>
      <c r="AH394" s="2">
        <f t="shared" si="113"/>
        <v>0</v>
      </c>
      <c r="AI394" s="1">
        <f t="shared" si="114"/>
        <v>19.295999999999999</v>
      </c>
      <c r="AJ394" s="1">
        <f t="shared" si="115"/>
        <v>24.240000000000002</v>
      </c>
      <c r="AK394" s="1" t="str">
        <f t="shared" si="116"/>
        <v/>
      </c>
      <c r="AL394" s="1" t="str">
        <f t="shared" si="117"/>
        <v/>
      </c>
      <c r="AM394" s="1">
        <f t="shared" si="102"/>
        <v>260</v>
      </c>
      <c r="AN394" s="5">
        <f t="shared" si="103"/>
        <v>0</v>
      </c>
      <c r="AO394" s="1" t="str">
        <f t="shared" si="118"/>
        <v/>
      </c>
    </row>
    <row r="395" spans="1:41">
      <c r="A395" t="s">
        <v>1417</v>
      </c>
      <c r="B395" t="s">
        <v>577</v>
      </c>
      <c r="C395" t="s">
        <v>1418</v>
      </c>
      <c r="D395">
        <v>400</v>
      </c>
      <c r="E395">
        <v>89</v>
      </c>
      <c r="F395">
        <v>0</v>
      </c>
      <c r="G395">
        <v>3</v>
      </c>
      <c r="I395">
        <v>1</v>
      </c>
      <c r="L395" t="s">
        <v>1417</v>
      </c>
      <c r="M395" t="s">
        <v>1419</v>
      </c>
      <c r="N395" t="s">
        <v>581</v>
      </c>
      <c r="O395">
        <v>0</v>
      </c>
      <c r="P395" t="s">
        <v>271</v>
      </c>
      <c r="Q395" t="s">
        <v>134</v>
      </c>
      <c r="R395">
        <v>10695</v>
      </c>
      <c r="S395" t="s">
        <v>1419</v>
      </c>
      <c r="U395" t="s">
        <v>272</v>
      </c>
      <c r="V395" t="s">
        <v>273</v>
      </c>
      <c r="W395">
        <v>12277970</v>
      </c>
      <c r="X395" t="s">
        <v>582</v>
      </c>
      <c r="Y395">
        <f t="shared" si="104"/>
        <v>0.10680000000000001</v>
      </c>
      <c r="Z395">
        <f t="shared" si="105"/>
        <v>2.9340000000000002</v>
      </c>
      <c r="AA395">
        <f t="shared" si="106"/>
        <v>1.2000000000000002</v>
      </c>
      <c r="AB395" s="2">
        <f t="shared" si="107"/>
        <v>18</v>
      </c>
      <c r="AC395" s="2">
        <f t="shared" si="108"/>
        <v>12</v>
      </c>
      <c r="AD395" s="2">
        <f t="shared" si="109"/>
        <v>0</v>
      </c>
      <c r="AE395" s="2">
        <f t="shared" si="110"/>
        <v>0</v>
      </c>
      <c r="AF395" s="2">
        <f t="shared" si="111"/>
        <v>9</v>
      </c>
      <c r="AG395" s="2">
        <f t="shared" si="112"/>
        <v>0</v>
      </c>
      <c r="AH395" s="2">
        <f t="shared" si="113"/>
        <v>0</v>
      </c>
      <c r="AI395" s="1">
        <f t="shared" si="114"/>
        <v>105.62400000000001</v>
      </c>
      <c r="AJ395" s="1">
        <f t="shared" si="115"/>
        <v>72.000000000000014</v>
      </c>
      <c r="AK395" s="1" t="str">
        <f t="shared" si="116"/>
        <v/>
      </c>
      <c r="AL395" s="1" t="str">
        <f t="shared" si="117"/>
        <v/>
      </c>
      <c r="AM395" s="1">
        <f t="shared" si="102"/>
        <v>390</v>
      </c>
      <c r="AN395" s="5">
        <f t="shared" si="103"/>
        <v>0</v>
      </c>
      <c r="AO395" s="1" t="str">
        <f t="shared" si="118"/>
        <v/>
      </c>
    </row>
    <row r="396" spans="1:41">
      <c r="A396" t="s">
        <v>1420</v>
      </c>
      <c r="B396" t="s">
        <v>577</v>
      </c>
      <c r="C396" t="s">
        <v>1421</v>
      </c>
      <c r="D396">
        <v>400</v>
      </c>
      <c r="E396">
        <v>89</v>
      </c>
      <c r="F396">
        <v>0</v>
      </c>
      <c r="G396">
        <v>3</v>
      </c>
      <c r="H396">
        <v>1</v>
      </c>
      <c r="L396" t="s">
        <v>1422</v>
      </c>
      <c r="M396" t="s">
        <v>1423</v>
      </c>
      <c r="N396" t="s">
        <v>581</v>
      </c>
      <c r="O396">
        <v>0</v>
      </c>
      <c r="P396" t="s">
        <v>271</v>
      </c>
      <c r="Q396" t="s">
        <v>134</v>
      </c>
      <c r="R396">
        <v>10695</v>
      </c>
      <c r="S396" t="s">
        <v>1423</v>
      </c>
      <c r="U396" t="s">
        <v>272</v>
      </c>
      <c r="V396" t="s">
        <v>273</v>
      </c>
      <c r="W396">
        <v>12277973</v>
      </c>
      <c r="X396" t="s">
        <v>582</v>
      </c>
      <c r="Y396">
        <f t="shared" si="104"/>
        <v>0.10680000000000001</v>
      </c>
      <c r="Z396">
        <f t="shared" si="105"/>
        <v>2.9340000000000002</v>
      </c>
      <c r="AA396">
        <f t="shared" si="106"/>
        <v>1.2000000000000002</v>
      </c>
      <c r="AB396" s="2">
        <f t="shared" si="107"/>
        <v>18</v>
      </c>
      <c r="AC396" s="2">
        <f t="shared" si="108"/>
        <v>12</v>
      </c>
      <c r="AD396" s="2">
        <f t="shared" si="109"/>
        <v>0</v>
      </c>
      <c r="AE396" s="2">
        <f t="shared" si="110"/>
        <v>0</v>
      </c>
      <c r="AF396" s="2">
        <f t="shared" si="111"/>
        <v>9</v>
      </c>
      <c r="AG396" s="2">
        <f t="shared" si="112"/>
        <v>0</v>
      </c>
      <c r="AH396" s="2">
        <f t="shared" si="113"/>
        <v>0</v>
      </c>
      <c r="AI396" s="1">
        <f t="shared" si="114"/>
        <v>105.62400000000001</v>
      </c>
      <c r="AJ396" s="1">
        <f t="shared" si="115"/>
        <v>72.000000000000014</v>
      </c>
      <c r="AK396" s="1" t="str">
        <f t="shared" si="116"/>
        <v/>
      </c>
      <c r="AL396" s="1" t="str">
        <f t="shared" si="117"/>
        <v/>
      </c>
      <c r="AM396" s="1">
        <f t="shared" si="102"/>
        <v>390</v>
      </c>
      <c r="AN396" s="5">
        <f t="shared" si="103"/>
        <v>0</v>
      </c>
      <c r="AO396" s="1" t="str">
        <f t="shared" si="118"/>
        <v/>
      </c>
    </row>
    <row r="397" spans="1:41">
      <c r="A397" t="s">
        <v>1424</v>
      </c>
      <c r="B397" t="s">
        <v>577</v>
      </c>
      <c r="C397" t="s">
        <v>1425</v>
      </c>
      <c r="D397">
        <v>424</v>
      </c>
      <c r="E397">
        <v>70</v>
      </c>
      <c r="F397">
        <v>0</v>
      </c>
      <c r="G397">
        <v>3</v>
      </c>
      <c r="I397">
        <v>1</v>
      </c>
      <c r="L397" t="s">
        <v>1424</v>
      </c>
      <c r="M397" t="s">
        <v>1426</v>
      </c>
      <c r="N397" t="s">
        <v>581</v>
      </c>
      <c r="O397">
        <v>0</v>
      </c>
      <c r="P397" t="s">
        <v>271</v>
      </c>
      <c r="Q397" t="s">
        <v>134</v>
      </c>
      <c r="R397">
        <v>10695</v>
      </c>
      <c r="S397" t="s">
        <v>1426</v>
      </c>
      <c r="U397" t="s">
        <v>272</v>
      </c>
      <c r="V397" t="s">
        <v>273</v>
      </c>
      <c r="W397">
        <v>12277967</v>
      </c>
      <c r="X397" t="s">
        <v>582</v>
      </c>
      <c r="Y397">
        <f t="shared" si="104"/>
        <v>8.9039999999999994E-2</v>
      </c>
      <c r="Z397">
        <f t="shared" si="105"/>
        <v>2.964</v>
      </c>
      <c r="AA397">
        <f t="shared" si="106"/>
        <v>1.272</v>
      </c>
      <c r="AB397" s="2">
        <f t="shared" si="107"/>
        <v>15</v>
      </c>
      <c r="AC397" s="2">
        <f t="shared" si="108"/>
        <v>12</v>
      </c>
      <c r="AD397" s="2">
        <f t="shared" si="109"/>
        <v>0</v>
      </c>
      <c r="AE397" s="2">
        <f t="shared" si="110"/>
        <v>0</v>
      </c>
      <c r="AF397" s="2">
        <f t="shared" si="111"/>
        <v>9</v>
      </c>
      <c r="AG397" s="2">
        <f t="shared" si="112"/>
        <v>0</v>
      </c>
      <c r="AH397" s="2">
        <f t="shared" si="113"/>
        <v>0</v>
      </c>
      <c r="AI397" s="1">
        <f t="shared" si="114"/>
        <v>106.70399999999999</v>
      </c>
      <c r="AJ397" s="1">
        <f t="shared" si="115"/>
        <v>76.320000000000007</v>
      </c>
      <c r="AK397" s="1" t="str">
        <f t="shared" si="116"/>
        <v/>
      </c>
      <c r="AL397" s="1" t="str">
        <f t="shared" si="117"/>
        <v/>
      </c>
      <c r="AM397" s="1">
        <f t="shared" si="102"/>
        <v>390</v>
      </c>
      <c r="AN397" s="5">
        <f t="shared" si="103"/>
        <v>0</v>
      </c>
      <c r="AO397" s="1" t="str">
        <f t="shared" si="118"/>
        <v/>
      </c>
    </row>
    <row r="398" spans="1:41">
      <c r="A398" t="s">
        <v>1427</v>
      </c>
      <c r="B398" t="s">
        <v>667</v>
      </c>
      <c r="C398" t="s">
        <v>1428</v>
      </c>
      <c r="D398">
        <v>400</v>
      </c>
      <c r="E398">
        <v>115</v>
      </c>
      <c r="F398">
        <v>0</v>
      </c>
      <c r="G398">
        <v>2</v>
      </c>
      <c r="H398">
        <v>1</v>
      </c>
      <c r="L398" t="s">
        <v>1429</v>
      </c>
      <c r="M398" t="s">
        <v>1430</v>
      </c>
      <c r="N398" t="s">
        <v>671</v>
      </c>
      <c r="O398">
        <v>0</v>
      </c>
      <c r="P398" t="s">
        <v>289</v>
      </c>
      <c r="Q398" t="s">
        <v>134</v>
      </c>
      <c r="R398">
        <v>10695</v>
      </c>
      <c r="S398" t="s">
        <v>1430</v>
      </c>
      <c r="U398" t="s">
        <v>290</v>
      </c>
      <c r="V398" t="s">
        <v>291</v>
      </c>
      <c r="W398">
        <v>12278064</v>
      </c>
      <c r="X398" t="s">
        <v>680</v>
      </c>
      <c r="Y398">
        <f t="shared" si="104"/>
        <v>9.1999999999999998E-2</v>
      </c>
      <c r="Z398">
        <f t="shared" si="105"/>
        <v>2.06</v>
      </c>
      <c r="AA398">
        <f t="shared" si="106"/>
        <v>0.8</v>
      </c>
      <c r="AB398" s="2">
        <f t="shared" si="107"/>
        <v>18</v>
      </c>
      <c r="AC398" s="2">
        <f t="shared" si="108"/>
        <v>12</v>
      </c>
      <c r="AD398" s="2">
        <f t="shared" si="109"/>
        <v>0</v>
      </c>
      <c r="AE398" s="2">
        <f t="shared" si="110"/>
        <v>0</v>
      </c>
      <c r="AF398" s="2">
        <f t="shared" si="111"/>
        <v>9</v>
      </c>
      <c r="AG398" s="2">
        <f t="shared" si="112"/>
        <v>0</v>
      </c>
      <c r="AH398" s="2">
        <f t="shared" si="113"/>
        <v>0</v>
      </c>
      <c r="AI398" s="1">
        <f t="shared" si="114"/>
        <v>74.16</v>
      </c>
      <c r="AJ398" s="1">
        <f t="shared" si="115"/>
        <v>48</v>
      </c>
      <c r="AK398" s="1" t="str">
        <f t="shared" si="116"/>
        <v/>
      </c>
      <c r="AL398" s="1" t="str">
        <f t="shared" si="117"/>
        <v/>
      </c>
      <c r="AM398" s="1">
        <f t="shared" si="102"/>
        <v>260</v>
      </c>
      <c r="AN398" s="5">
        <f t="shared" si="103"/>
        <v>0</v>
      </c>
      <c r="AO398" s="1" t="str">
        <f t="shared" si="118"/>
        <v/>
      </c>
    </row>
    <row r="399" spans="1:41">
      <c r="A399" t="s">
        <v>1431</v>
      </c>
      <c r="B399" t="s">
        <v>667</v>
      </c>
      <c r="C399" t="s">
        <v>1432</v>
      </c>
      <c r="D399">
        <v>400</v>
      </c>
      <c r="E399">
        <v>115</v>
      </c>
      <c r="F399">
        <v>0</v>
      </c>
      <c r="G399">
        <v>2</v>
      </c>
      <c r="H399">
        <v>1</v>
      </c>
      <c r="L399" t="s">
        <v>1433</v>
      </c>
      <c r="M399" t="s">
        <v>1434</v>
      </c>
      <c r="N399" t="s">
        <v>671</v>
      </c>
      <c r="O399">
        <v>0</v>
      </c>
      <c r="P399" t="s">
        <v>289</v>
      </c>
      <c r="Q399" t="s">
        <v>134</v>
      </c>
      <c r="R399">
        <v>10695</v>
      </c>
      <c r="S399" t="s">
        <v>1434</v>
      </c>
      <c r="U399" t="s">
        <v>290</v>
      </c>
      <c r="V399" t="s">
        <v>291</v>
      </c>
      <c r="W399">
        <v>12278061</v>
      </c>
      <c r="X399" t="s">
        <v>680</v>
      </c>
      <c r="Y399">
        <f t="shared" si="104"/>
        <v>9.1999999999999998E-2</v>
      </c>
      <c r="Z399">
        <f t="shared" si="105"/>
        <v>2.06</v>
      </c>
      <c r="AA399">
        <f t="shared" si="106"/>
        <v>0.8</v>
      </c>
      <c r="AB399" s="2">
        <f t="shared" si="107"/>
        <v>18</v>
      </c>
      <c r="AC399" s="2">
        <f t="shared" si="108"/>
        <v>12</v>
      </c>
      <c r="AD399" s="2">
        <f t="shared" si="109"/>
        <v>0</v>
      </c>
      <c r="AE399" s="2">
        <f t="shared" si="110"/>
        <v>0</v>
      </c>
      <c r="AF399" s="2">
        <f t="shared" si="111"/>
        <v>9</v>
      </c>
      <c r="AG399" s="2">
        <f t="shared" si="112"/>
        <v>0</v>
      </c>
      <c r="AH399" s="2">
        <f t="shared" si="113"/>
        <v>0</v>
      </c>
      <c r="AI399" s="1">
        <f t="shared" si="114"/>
        <v>74.16</v>
      </c>
      <c r="AJ399" s="1">
        <f t="shared" si="115"/>
        <v>48</v>
      </c>
      <c r="AK399" s="1" t="str">
        <f t="shared" si="116"/>
        <v/>
      </c>
      <c r="AL399" s="1" t="str">
        <f t="shared" si="117"/>
        <v/>
      </c>
      <c r="AM399" s="1">
        <f t="shared" si="102"/>
        <v>260</v>
      </c>
      <c r="AN399" s="5">
        <f t="shared" si="103"/>
        <v>0</v>
      </c>
      <c r="AO399" s="1" t="str">
        <f t="shared" si="118"/>
        <v/>
      </c>
    </row>
    <row r="400" spans="1:41">
      <c r="A400" t="s">
        <v>1435</v>
      </c>
      <c r="B400" t="s">
        <v>667</v>
      </c>
      <c r="C400" t="s">
        <v>1436</v>
      </c>
      <c r="D400">
        <v>400</v>
      </c>
      <c r="E400">
        <v>89</v>
      </c>
      <c r="F400">
        <v>0</v>
      </c>
      <c r="G400">
        <v>1</v>
      </c>
      <c r="H400">
        <v>1</v>
      </c>
      <c r="L400" t="s">
        <v>1437</v>
      </c>
      <c r="M400" t="s">
        <v>1438</v>
      </c>
      <c r="N400" t="s">
        <v>671</v>
      </c>
      <c r="O400">
        <v>0</v>
      </c>
      <c r="P400" t="s">
        <v>289</v>
      </c>
      <c r="Q400" t="s">
        <v>134</v>
      </c>
      <c r="R400">
        <v>10695</v>
      </c>
      <c r="S400" t="s">
        <v>1438</v>
      </c>
      <c r="U400" t="s">
        <v>290</v>
      </c>
      <c r="V400" t="s">
        <v>291</v>
      </c>
      <c r="W400">
        <v>12278073</v>
      </c>
      <c r="X400" t="s">
        <v>680</v>
      </c>
      <c r="Y400">
        <f t="shared" si="104"/>
        <v>3.56E-2</v>
      </c>
      <c r="Z400">
        <f t="shared" si="105"/>
        <v>0.97799999999999998</v>
      </c>
      <c r="AA400">
        <f t="shared" si="106"/>
        <v>0.4</v>
      </c>
      <c r="AB400" s="2">
        <f t="shared" si="107"/>
        <v>18</v>
      </c>
      <c r="AC400" s="2">
        <f t="shared" si="108"/>
        <v>12</v>
      </c>
      <c r="AD400" s="2">
        <f t="shared" si="109"/>
        <v>0</v>
      </c>
      <c r="AE400" s="2">
        <f t="shared" si="110"/>
        <v>0</v>
      </c>
      <c r="AF400" s="2">
        <f t="shared" si="111"/>
        <v>9</v>
      </c>
      <c r="AG400" s="2">
        <f t="shared" si="112"/>
        <v>0</v>
      </c>
      <c r="AH400" s="2">
        <f t="shared" si="113"/>
        <v>0</v>
      </c>
      <c r="AI400" s="1">
        <f t="shared" si="114"/>
        <v>35.207999999999998</v>
      </c>
      <c r="AJ400" s="1">
        <f t="shared" si="115"/>
        <v>24</v>
      </c>
      <c r="AK400" s="1" t="str">
        <f t="shared" si="116"/>
        <v/>
      </c>
      <c r="AL400" s="1" t="str">
        <f t="shared" si="117"/>
        <v/>
      </c>
      <c r="AM400" s="1">
        <f t="shared" si="102"/>
        <v>130</v>
      </c>
      <c r="AN400" s="5">
        <f t="shared" si="103"/>
        <v>0</v>
      </c>
      <c r="AO400" s="1" t="str">
        <f t="shared" si="118"/>
        <v/>
      </c>
    </row>
    <row r="401" spans="1:41">
      <c r="A401" t="s">
        <v>1439</v>
      </c>
      <c r="B401" t="s">
        <v>667</v>
      </c>
      <c r="C401" t="s">
        <v>1440</v>
      </c>
      <c r="D401">
        <v>400</v>
      </c>
      <c r="E401">
        <v>89</v>
      </c>
      <c r="F401">
        <v>0</v>
      </c>
      <c r="G401">
        <v>1</v>
      </c>
      <c r="H401">
        <v>1</v>
      </c>
      <c r="L401" t="s">
        <v>1441</v>
      </c>
      <c r="M401" t="s">
        <v>1442</v>
      </c>
      <c r="N401" t="s">
        <v>671</v>
      </c>
      <c r="O401">
        <v>0</v>
      </c>
      <c r="P401" t="s">
        <v>289</v>
      </c>
      <c r="Q401" t="s">
        <v>134</v>
      </c>
      <c r="R401">
        <v>10695</v>
      </c>
      <c r="S401" t="s">
        <v>1442</v>
      </c>
      <c r="U401" t="s">
        <v>290</v>
      </c>
      <c r="V401" t="s">
        <v>291</v>
      </c>
      <c r="W401">
        <v>12278070</v>
      </c>
      <c r="X401" t="s">
        <v>680</v>
      </c>
      <c r="Y401">
        <f t="shared" si="104"/>
        <v>3.56E-2</v>
      </c>
      <c r="Z401">
        <f t="shared" si="105"/>
        <v>0.97799999999999998</v>
      </c>
      <c r="AA401">
        <f t="shared" si="106"/>
        <v>0.4</v>
      </c>
      <c r="AB401" s="2">
        <f t="shared" si="107"/>
        <v>18</v>
      </c>
      <c r="AC401" s="2">
        <f t="shared" si="108"/>
        <v>12</v>
      </c>
      <c r="AD401" s="2">
        <f t="shared" si="109"/>
        <v>0</v>
      </c>
      <c r="AE401" s="2">
        <f t="shared" si="110"/>
        <v>0</v>
      </c>
      <c r="AF401" s="2">
        <f t="shared" si="111"/>
        <v>9</v>
      </c>
      <c r="AG401" s="2">
        <f t="shared" si="112"/>
        <v>0</v>
      </c>
      <c r="AH401" s="2">
        <f t="shared" si="113"/>
        <v>0</v>
      </c>
      <c r="AI401" s="1">
        <f t="shared" si="114"/>
        <v>35.207999999999998</v>
      </c>
      <c r="AJ401" s="1">
        <f t="shared" si="115"/>
        <v>24</v>
      </c>
      <c r="AK401" s="1" t="str">
        <f t="shared" si="116"/>
        <v/>
      </c>
      <c r="AL401" s="1" t="str">
        <f t="shared" si="117"/>
        <v/>
      </c>
      <c r="AM401" s="1">
        <f t="shared" si="102"/>
        <v>130</v>
      </c>
      <c r="AN401" s="5">
        <f t="shared" si="103"/>
        <v>0</v>
      </c>
      <c r="AO401" s="1" t="str">
        <f t="shared" si="118"/>
        <v/>
      </c>
    </row>
    <row r="402" spans="1:41">
      <c r="A402" t="s">
        <v>1443</v>
      </c>
      <c r="B402" t="s">
        <v>667</v>
      </c>
      <c r="C402" t="s">
        <v>1444</v>
      </c>
      <c r="D402">
        <v>408</v>
      </c>
      <c r="E402">
        <v>71</v>
      </c>
      <c r="F402">
        <v>0</v>
      </c>
      <c r="G402">
        <v>1</v>
      </c>
      <c r="H402">
        <v>1</v>
      </c>
      <c r="L402" t="s">
        <v>1445</v>
      </c>
      <c r="M402" t="s">
        <v>1446</v>
      </c>
      <c r="N402" t="s">
        <v>671</v>
      </c>
      <c r="O402">
        <v>0</v>
      </c>
      <c r="P402" t="s">
        <v>289</v>
      </c>
      <c r="Q402" t="s">
        <v>134</v>
      </c>
      <c r="R402">
        <v>10695</v>
      </c>
      <c r="S402" t="s">
        <v>1446</v>
      </c>
      <c r="U402" t="s">
        <v>290</v>
      </c>
      <c r="V402" t="s">
        <v>291</v>
      </c>
      <c r="W402">
        <v>12278067</v>
      </c>
      <c r="X402" t="s">
        <v>680</v>
      </c>
      <c r="Y402">
        <f t="shared" si="104"/>
        <v>2.8968000000000001E-2</v>
      </c>
      <c r="Z402">
        <f t="shared" si="105"/>
        <v>0.95799999999999996</v>
      </c>
      <c r="AA402">
        <f t="shared" si="106"/>
        <v>0.40799999999999997</v>
      </c>
      <c r="AB402" s="2">
        <f t="shared" si="107"/>
        <v>15</v>
      </c>
      <c r="AC402" s="2">
        <f t="shared" si="108"/>
        <v>12</v>
      </c>
      <c r="AD402" s="2">
        <f t="shared" si="109"/>
        <v>0</v>
      </c>
      <c r="AE402" s="2">
        <f t="shared" si="110"/>
        <v>0</v>
      </c>
      <c r="AF402" s="2">
        <f t="shared" si="111"/>
        <v>9</v>
      </c>
      <c r="AG402" s="2">
        <f t="shared" si="112"/>
        <v>0</v>
      </c>
      <c r="AH402" s="2">
        <f t="shared" si="113"/>
        <v>0</v>
      </c>
      <c r="AI402" s="1">
        <f t="shared" si="114"/>
        <v>34.488</v>
      </c>
      <c r="AJ402" s="1">
        <f t="shared" si="115"/>
        <v>24.479999999999997</v>
      </c>
      <c r="AK402" s="1" t="str">
        <f t="shared" si="116"/>
        <v/>
      </c>
      <c r="AL402" s="1" t="str">
        <f t="shared" si="117"/>
        <v/>
      </c>
      <c r="AM402" s="1">
        <f t="shared" si="102"/>
        <v>130</v>
      </c>
      <c r="AN402" s="5">
        <f t="shared" si="103"/>
        <v>0</v>
      </c>
      <c r="AO402" s="1" t="str">
        <f t="shared" si="118"/>
        <v/>
      </c>
    </row>
    <row r="403" spans="1:41">
      <c r="A403" t="s">
        <v>1447</v>
      </c>
      <c r="B403" t="s">
        <v>667</v>
      </c>
      <c r="C403" t="s">
        <v>1448</v>
      </c>
      <c r="D403">
        <v>408</v>
      </c>
      <c r="E403">
        <v>97</v>
      </c>
      <c r="F403">
        <v>0</v>
      </c>
      <c r="G403">
        <v>2</v>
      </c>
      <c r="H403">
        <v>1</v>
      </c>
      <c r="L403" t="s">
        <v>1449</v>
      </c>
      <c r="M403" t="s">
        <v>1450</v>
      </c>
      <c r="N403" t="s">
        <v>671</v>
      </c>
      <c r="O403">
        <v>0</v>
      </c>
      <c r="P403" t="s">
        <v>289</v>
      </c>
      <c r="Q403" t="s">
        <v>134</v>
      </c>
      <c r="R403">
        <v>10695</v>
      </c>
      <c r="S403" t="s">
        <v>1450</v>
      </c>
      <c r="U403" t="s">
        <v>290</v>
      </c>
      <c r="V403" t="s">
        <v>291</v>
      </c>
      <c r="W403">
        <v>12278058</v>
      </c>
      <c r="X403" t="s">
        <v>680</v>
      </c>
      <c r="Y403">
        <f t="shared" si="104"/>
        <v>7.9152E-2</v>
      </c>
      <c r="Z403">
        <f t="shared" si="105"/>
        <v>2.02</v>
      </c>
      <c r="AA403">
        <f t="shared" si="106"/>
        <v>0.81599999999999995</v>
      </c>
      <c r="AB403" s="2">
        <f t="shared" si="107"/>
        <v>15</v>
      </c>
      <c r="AC403" s="2">
        <f t="shared" si="108"/>
        <v>12</v>
      </c>
      <c r="AD403" s="2">
        <f t="shared" si="109"/>
        <v>0</v>
      </c>
      <c r="AE403" s="2">
        <f t="shared" si="110"/>
        <v>0</v>
      </c>
      <c r="AF403" s="2">
        <f t="shared" si="111"/>
        <v>9</v>
      </c>
      <c r="AG403" s="2">
        <f t="shared" si="112"/>
        <v>0</v>
      </c>
      <c r="AH403" s="2">
        <f t="shared" si="113"/>
        <v>0</v>
      </c>
      <c r="AI403" s="1">
        <f t="shared" si="114"/>
        <v>72.72</v>
      </c>
      <c r="AJ403" s="1">
        <f t="shared" si="115"/>
        <v>48.959999999999994</v>
      </c>
      <c r="AK403" s="1" t="str">
        <f t="shared" si="116"/>
        <v/>
      </c>
      <c r="AL403" s="1" t="str">
        <f t="shared" si="117"/>
        <v/>
      </c>
      <c r="AM403" s="1">
        <f t="shared" si="102"/>
        <v>260</v>
      </c>
      <c r="AN403" s="5">
        <f t="shared" si="103"/>
        <v>0</v>
      </c>
      <c r="AO403" s="1" t="str">
        <f t="shared" si="118"/>
        <v/>
      </c>
    </row>
    <row r="404" spans="1:41">
      <c r="A404" t="s">
        <v>1451</v>
      </c>
      <c r="B404" t="s">
        <v>667</v>
      </c>
      <c r="C404" t="s">
        <v>1452</v>
      </c>
      <c r="D404">
        <v>398</v>
      </c>
      <c r="E404">
        <v>49</v>
      </c>
      <c r="F404">
        <v>0</v>
      </c>
      <c r="G404">
        <v>2</v>
      </c>
      <c r="H404">
        <v>1</v>
      </c>
      <c r="J404">
        <v>1</v>
      </c>
      <c r="K404">
        <v>1</v>
      </c>
      <c r="L404" t="s">
        <v>1453</v>
      </c>
      <c r="M404" t="s">
        <v>1454</v>
      </c>
      <c r="N404" t="s">
        <v>671</v>
      </c>
      <c r="O404">
        <v>0</v>
      </c>
      <c r="P404" t="s">
        <v>289</v>
      </c>
      <c r="Q404" t="s">
        <v>134</v>
      </c>
      <c r="R404">
        <v>10695</v>
      </c>
      <c r="S404" t="s">
        <v>1454</v>
      </c>
      <c r="U404" t="s">
        <v>290</v>
      </c>
      <c r="V404" t="s">
        <v>291</v>
      </c>
      <c r="W404">
        <v>12278079</v>
      </c>
      <c r="X404" t="s">
        <v>680</v>
      </c>
      <c r="Y404">
        <f t="shared" si="104"/>
        <v>3.9003999999999997E-2</v>
      </c>
      <c r="Z404">
        <f t="shared" si="105"/>
        <v>1.788</v>
      </c>
      <c r="AA404">
        <f t="shared" si="106"/>
        <v>0.99199999999999999</v>
      </c>
      <c r="AB404" s="2">
        <f t="shared" si="107"/>
        <v>15</v>
      </c>
      <c r="AC404" s="2">
        <f t="shared" si="108"/>
        <v>12</v>
      </c>
      <c r="AD404" s="2">
        <f t="shared" si="109"/>
        <v>0</v>
      </c>
      <c r="AE404" s="2">
        <f t="shared" si="110"/>
        <v>0</v>
      </c>
      <c r="AF404" s="2">
        <f t="shared" si="111"/>
        <v>9</v>
      </c>
      <c r="AG404" s="2">
        <f t="shared" si="112"/>
        <v>0</v>
      </c>
      <c r="AH404" s="2">
        <f t="shared" si="113"/>
        <v>0</v>
      </c>
      <c r="AI404" s="1">
        <f t="shared" si="114"/>
        <v>64.367999999999995</v>
      </c>
      <c r="AJ404" s="1">
        <f t="shared" si="115"/>
        <v>59.519999999999996</v>
      </c>
      <c r="AK404" s="1" t="str">
        <f t="shared" si="116"/>
        <v/>
      </c>
      <c r="AL404" s="1" t="str">
        <f t="shared" si="117"/>
        <v/>
      </c>
      <c r="AM404" s="1">
        <f t="shared" si="102"/>
        <v>260</v>
      </c>
      <c r="AN404" s="5">
        <f t="shared" si="103"/>
        <v>0</v>
      </c>
      <c r="AO404" s="1" t="str">
        <f t="shared" si="118"/>
        <v/>
      </c>
    </row>
    <row r="405" spans="1:41">
      <c r="A405" t="s">
        <v>1451</v>
      </c>
      <c r="B405" t="s">
        <v>667</v>
      </c>
      <c r="C405" t="s">
        <v>1452</v>
      </c>
      <c r="D405">
        <v>398</v>
      </c>
      <c r="E405">
        <v>49</v>
      </c>
      <c r="F405">
        <v>0</v>
      </c>
      <c r="G405">
        <v>2</v>
      </c>
      <c r="H405">
        <v>1</v>
      </c>
      <c r="J405">
        <v>1</v>
      </c>
      <c r="K405">
        <v>1</v>
      </c>
      <c r="L405" t="s">
        <v>1453</v>
      </c>
      <c r="M405" t="s">
        <v>1454</v>
      </c>
      <c r="N405" t="s">
        <v>671</v>
      </c>
      <c r="O405">
        <v>0</v>
      </c>
      <c r="P405" t="s">
        <v>289</v>
      </c>
      <c r="Q405" t="s">
        <v>134</v>
      </c>
      <c r="R405">
        <v>10695</v>
      </c>
      <c r="S405" t="s">
        <v>1454</v>
      </c>
      <c r="U405" t="s">
        <v>290</v>
      </c>
      <c r="V405" t="s">
        <v>291</v>
      </c>
      <c r="W405">
        <v>12278079</v>
      </c>
      <c r="X405" t="s">
        <v>681</v>
      </c>
      <c r="Y405">
        <f t="shared" si="104"/>
        <v>3.9003999999999997E-2</v>
      </c>
      <c r="Z405">
        <f t="shared" si="105"/>
        <v>1.788</v>
      </c>
      <c r="AA405">
        <f t="shared" si="106"/>
        <v>0.99199999999999999</v>
      </c>
      <c r="AB405" s="2">
        <f t="shared" si="107"/>
        <v>15</v>
      </c>
      <c r="AC405" s="2">
        <f t="shared" si="108"/>
        <v>12</v>
      </c>
      <c r="AD405" s="2">
        <f t="shared" si="109"/>
        <v>0</v>
      </c>
      <c r="AE405" s="2">
        <f t="shared" si="110"/>
        <v>0</v>
      </c>
      <c r="AF405" s="2">
        <f t="shared" si="111"/>
        <v>9</v>
      </c>
      <c r="AG405" s="2">
        <f t="shared" si="112"/>
        <v>0</v>
      </c>
      <c r="AH405" s="2">
        <f t="shared" si="113"/>
        <v>0</v>
      </c>
      <c r="AI405" s="1">
        <f t="shared" si="114"/>
        <v>64.367999999999995</v>
      </c>
      <c r="AJ405" s="1">
        <f t="shared" si="115"/>
        <v>59.519999999999996</v>
      </c>
      <c r="AK405" s="1" t="str">
        <f t="shared" si="116"/>
        <v/>
      </c>
      <c r="AL405" s="1" t="str">
        <f t="shared" si="117"/>
        <v/>
      </c>
      <c r="AM405" s="1">
        <f t="shared" si="102"/>
        <v>260</v>
      </c>
      <c r="AN405" s="5">
        <f t="shared" si="103"/>
        <v>0</v>
      </c>
      <c r="AO405" s="1" t="str">
        <f t="shared" si="118"/>
        <v/>
      </c>
    </row>
    <row r="406" spans="1:41">
      <c r="A406" t="s">
        <v>1455</v>
      </c>
      <c r="B406" t="s">
        <v>667</v>
      </c>
      <c r="C406" t="s">
        <v>1456</v>
      </c>
      <c r="D406">
        <v>298</v>
      </c>
      <c r="E406">
        <v>100</v>
      </c>
      <c r="F406">
        <v>0</v>
      </c>
      <c r="G406">
        <v>4</v>
      </c>
      <c r="J406">
        <v>1</v>
      </c>
      <c r="K406">
        <v>1</v>
      </c>
      <c r="L406" t="s">
        <v>1455</v>
      </c>
      <c r="M406" t="s">
        <v>684</v>
      </c>
      <c r="N406" t="s">
        <v>671</v>
      </c>
      <c r="O406">
        <v>0</v>
      </c>
      <c r="P406" t="s">
        <v>289</v>
      </c>
      <c r="Q406" t="s">
        <v>134</v>
      </c>
      <c r="R406">
        <v>10695</v>
      </c>
      <c r="S406" t="s">
        <v>684</v>
      </c>
      <c r="U406" t="s">
        <v>290</v>
      </c>
      <c r="V406" t="s">
        <v>291</v>
      </c>
      <c r="W406">
        <v>12278117</v>
      </c>
      <c r="X406" t="s">
        <v>685</v>
      </c>
      <c r="Y406">
        <f t="shared" si="104"/>
        <v>0.1192</v>
      </c>
      <c r="Z406">
        <f t="shared" si="105"/>
        <v>3.1840000000000002</v>
      </c>
      <c r="AA406">
        <f t="shared" si="106"/>
        <v>0.8</v>
      </c>
      <c r="AB406" s="2">
        <f t="shared" si="107"/>
        <v>15</v>
      </c>
      <c r="AC406" s="2">
        <f t="shared" si="108"/>
        <v>12</v>
      </c>
      <c r="AD406" s="2">
        <f t="shared" si="109"/>
        <v>0</v>
      </c>
      <c r="AE406" s="2">
        <f t="shared" si="110"/>
        <v>0</v>
      </c>
      <c r="AF406" s="2">
        <f t="shared" si="111"/>
        <v>9</v>
      </c>
      <c r="AG406" s="2">
        <f t="shared" si="112"/>
        <v>0</v>
      </c>
      <c r="AH406" s="2">
        <f t="shared" si="113"/>
        <v>0</v>
      </c>
      <c r="AI406" s="1">
        <f t="shared" si="114"/>
        <v>114.62400000000001</v>
      </c>
      <c r="AJ406" s="1">
        <f t="shared" si="115"/>
        <v>48</v>
      </c>
      <c r="AK406" s="1" t="str">
        <f t="shared" si="116"/>
        <v/>
      </c>
      <c r="AL406" s="1" t="str">
        <f t="shared" si="117"/>
        <v/>
      </c>
      <c r="AM406" s="1">
        <f t="shared" si="102"/>
        <v>520</v>
      </c>
      <c r="AN406" s="5">
        <f t="shared" si="103"/>
        <v>0</v>
      </c>
      <c r="AO406" s="1" t="str">
        <f t="shared" si="118"/>
        <v/>
      </c>
    </row>
    <row r="407" spans="1:41">
      <c r="A407" t="s">
        <v>1457</v>
      </c>
      <c r="B407" t="s">
        <v>667</v>
      </c>
      <c r="C407" t="s">
        <v>1458</v>
      </c>
      <c r="D407">
        <v>390</v>
      </c>
      <c r="E407">
        <v>115</v>
      </c>
      <c r="F407">
        <v>0</v>
      </c>
      <c r="G407">
        <v>2</v>
      </c>
      <c r="H407">
        <v>1</v>
      </c>
      <c r="L407" t="s">
        <v>1459</v>
      </c>
      <c r="M407" t="s">
        <v>1434</v>
      </c>
      <c r="N407" t="s">
        <v>671</v>
      </c>
      <c r="O407">
        <v>0</v>
      </c>
      <c r="P407" t="s">
        <v>360</v>
      </c>
      <c r="Q407" t="s">
        <v>134</v>
      </c>
      <c r="R407">
        <v>10695</v>
      </c>
      <c r="S407" t="s">
        <v>1434</v>
      </c>
      <c r="U407" t="s">
        <v>361</v>
      </c>
      <c r="V407" t="s">
        <v>362</v>
      </c>
      <c r="W407">
        <v>12278665</v>
      </c>
      <c r="X407" t="s">
        <v>363</v>
      </c>
      <c r="Y407">
        <f t="shared" si="104"/>
        <v>8.9700000000000002E-2</v>
      </c>
      <c r="Z407">
        <f t="shared" si="105"/>
        <v>2.02</v>
      </c>
      <c r="AA407">
        <f t="shared" si="106"/>
        <v>0.78</v>
      </c>
      <c r="AB407" s="2">
        <f t="shared" si="107"/>
        <v>16</v>
      </c>
      <c r="AC407" s="2">
        <f t="shared" si="108"/>
        <v>13</v>
      </c>
      <c r="AD407" s="2">
        <f t="shared" si="109"/>
        <v>0</v>
      </c>
      <c r="AE407" s="2">
        <f t="shared" si="110"/>
        <v>0</v>
      </c>
      <c r="AF407" s="2">
        <f t="shared" si="111"/>
        <v>10</v>
      </c>
      <c r="AG407" s="2">
        <f t="shared" si="112"/>
        <v>0</v>
      </c>
      <c r="AH407" s="2">
        <f t="shared" si="113"/>
        <v>0</v>
      </c>
      <c r="AI407" s="1">
        <f t="shared" si="114"/>
        <v>72.72</v>
      </c>
      <c r="AJ407" s="1">
        <f t="shared" si="115"/>
        <v>46.800000000000004</v>
      </c>
      <c r="AK407" s="1" t="str">
        <f t="shared" si="116"/>
        <v/>
      </c>
      <c r="AL407" s="1" t="str">
        <f t="shared" si="117"/>
        <v/>
      </c>
      <c r="AM407" s="1">
        <f t="shared" si="102"/>
        <v>260</v>
      </c>
      <c r="AN407" s="5">
        <f t="shared" si="103"/>
        <v>0</v>
      </c>
      <c r="AO407" s="1" t="str">
        <f t="shared" si="118"/>
        <v/>
      </c>
    </row>
    <row r="408" spans="1:41">
      <c r="A408" t="s">
        <v>1460</v>
      </c>
      <c r="B408" t="s">
        <v>667</v>
      </c>
      <c r="C408" t="s">
        <v>1461</v>
      </c>
      <c r="D408">
        <v>390</v>
      </c>
      <c r="E408">
        <v>115</v>
      </c>
      <c r="F408">
        <v>0</v>
      </c>
      <c r="G408">
        <v>2</v>
      </c>
      <c r="H408">
        <v>1</v>
      </c>
      <c r="L408" t="s">
        <v>1462</v>
      </c>
      <c r="M408" t="s">
        <v>1430</v>
      </c>
      <c r="N408" t="s">
        <v>671</v>
      </c>
      <c r="O408">
        <v>0</v>
      </c>
      <c r="P408" t="s">
        <v>360</v>
      </c>
      <c r="Q408" t="s">
        <v>134</v>
      </c>
      <c r="R408">
        <v>10695</v>
      </c>
      <c r="S408" t="s">
        <v>1430</v>
      </c>
      <c r="U408" t="s">
        <v>361</v>
      </c>
      <c r="V408" t="s">
        <v>362</v>
      </c>
      <c r="W408">
        <v>12278668</v>
      </c>
      <c r="X408" t="s">
        <v>363</v>
      </c>
      <c r="Y408">
        <f t="shared" si="104"/>
        <v>8.9700000000000002E-2</v>
      </c>
      <c r="Z408">
        <f t="shared" si="105"/>
        <v>2.02</v>
      </c>
      <c r="AA408">
        <f t="shared" si="106"/>
        <v>0.78</v>
      </c>
      <c r="AB408" s="2">
        <f t="shared" si="107"/>
        <v>16</v>
      </c>
      <c r="AC408" s="2">
        <f t="shared" si="108"/>
        <v>13</v>
      </c>
      <c r="AD408" s="2">
        <f t="shared" si="109"/>
        <v>0</v>
      </c>
      <c r="AE408" s="2">
        <f t="shared" si="110"/>
        <v>0</v>
      </c>
      <c r="AF408" s="2">
        <f t="shared" si="111"/>
        <v>10</v>
      </c>
      <c r="AG408" s="2">
        <f t="shared" si="112"/>
        <v>0</v>
      </c>
      <c r="AH408" s="2">
        <f t="shared" si="113"/>
        <v>0</v>
      </c>
      <c r="AI408" s="1">
        <f t="shared" si="114"/>
        <v>72.72</v>
      </c>
      <c r="AJ408" s="1">
        <f t="shared" si="115"/>
        <v>46.800000000000004</v>
      </c>
      <c r="AK408" s="1" t="str">
        <f t="shared" si="116"/>
        <v/>
      </c>
      <c r="AL408" s="1" t="str">
        <f t="shared" si="117"/>
        <v/>
      </c>
      <c r="AM408" s="1">
        <f t="shared" si="102"/>
        <v>260</v>
      </c>
      <c r="AN408" s="5">
        <f t="shared" si="103"/>
        <v>0</v>
      </c>
      <c r="AO408" s="1" t="str">
        <f t="shared" si="118"/>
        <v/>
      </c>
    </row>
    <row r="409" spans="1:41">
      <c r="A409" t="s">
        <v>1463</v>
      </c>
      <c r="B409" t="s">
        <v>667</v>
      </c>
      <c r="C409" t="s">
        <v>1464</v>
      </c>
      <c r="D409">
        <v>437</v>
      </c>
      <c r="E409">
        <v>96</v>
      </c>
      <c r="F409">
        <v>0</v>
      </c>
      <c r="G409">
        <v>2</v>
      </c>
      <c r="H409">
        <v>1</v>
      </c>
      <c r="L409" t="s">
        <v>1465</v>
      </c>
      <c r="M409" t="s">
        <v>1450</v>
      </c>
      <c r="N409" t="s">
        <v>671</v>
      </c>
      <c r="O409">
        <v>0</v>
      </c>
      <c r="P409" t="s">
        <v>360</v>
      </c>
      <c r="Q409" t="s">
        <v>134</v>
      </c>
      <c r="R409">
        <v>10695</v>
      </c>
      <c r="S409" t="s">
        <v>1450</v>
      </c>
      <c r="U409" t="s">
        <v>361</v>
      </c>
      <c r="V409" t="s">
        <v>362</v>
      </c>
      <c r="W409">
        <v>12278671</v>
      </c>
      <c r="X409" t="s">
        <v>363</v>
      </c>
      <c r="Y409">
        <f t="shared" si="104"/>
        <v>8.3904000000000006E-2</v>
      </c>
      <c r="Z409">
        <f t="shared" si="105"/>
        <v>2.1320000000000001</v>
      </c>
      <c r="AA409">
        <f t="shared" si="106"/>
        <v>0.874</v>
      </c>
      <c r="AB409" s="2">
        <f t="shared" si="107"/>
        <v>16</v>
      </c>
      <c r="AC409" s="2">
        <f t="shared" si="108"/>
        <v>13</v>
      </c>
      <c r="AD409" s="2">
        <f t="shared" si="109"/>
        <v>0</v>
      </c>
      <c r="AE409" s="2">
        <f t="shared" si="110"/>
        <v>0</v>
      </c>
      <c r="AF409" s="2">
        <f t="shared" si="111"/>
        <v>10</v>
      </c>
      <c r="AG409" s="2">
        <f t="shared" si="112"/>
        <v>0</v>
      </c>
      <c r="AH409" s="2">
        <f t="shared" si="113"/>
        <v>0</v>
      </c>
      <c r="AI409" s="1">
        <f t="shared" si="114"/>
        <v>76.75200000000001</v>
      </c>
      <c r="AJ409" s="1">
        <f t="shared" si="115"/>
        <v>52.44</v>
      </c>
      <c r="AK409" s="1" t="str">
        <f t="shared" si="116"/>
        <v/>
      </c>
      <c r="AL409" s="1" t="str">
        <f t="shared" si="117"/>
        <v/>
      </c>
      <c r="AM409" s="1">
        <f t="shared" si="102"/>
        <v>260</v>
      </c>
      <c r="AN409" s="5">
        <f t="shared" si="103"/>
        <v>0</v>
      </c>
      <c r="AO409" s="1" t="str">
        <f t="shared" si="118"/>
        <v/>
      </c>
    </row>
    <row r="410" spans="1:41">
      <c r="A410" t="s">
        <v>1466</v>
      </c>
      <c r="B410" t="s">
        <v>667</v>
      </c>
      <c r="C410" t="s">
        <v>1467</v>
      </c>
      <c r="D410">
        <v>390</v>
      </c>
      <c r="E410">
        <v>89</v>
      </c>
      <c r="F410">
        <v>0</v>
      </c>
      <c r="G410">
        <v>1</v>
      </c>
      <c r="H410">
        <v>1</v>
      </c>
      <c r="L410" t="s">
        <v>1468</v>
      </c>
      <c r="M410" t="s">
        <v>1469</v>
      </c>
      <c r="N410" t="s">
        <v>671</v>
      </c>
      <c r="O410">
        <v>0</v>
      </c>
      <c r="P410" t="s">
        <v>360</v>
      </c>
      <c r="Q410" t="s">
        <v>134</v>
      </c>
      <c r="R410">
        <v>10695</v>
      </c>
      <c r="S410" t="s">
        <v>1469</v>
      </c>
      <c r="U410" t="s">
        <v>361</v>
      </c>
      <c r="V410" t="s">
        <v>362</v>
      </c>
      <c r="W410">
        <v>12278694</v>
      </c>
      <c r="X410" t="s">
        <v>363</v>
      </c>
      <c r="Y410">
        <f t="shared" si="104"/>
        <v>3.4709999999999998E-2</v>
      </c>
      <c r="Z410">
        <f t="shared" si="105"/>
        <v>0.95799999999999996</v>
      </c>
      <c r="AA410">
        <f t="shared" si="106"/>
        <v>0.39</v>
      </c>
      <c r="AB410" s="2">
        <f t="shared" si="107"/>
        <v>16</v>
      </c>
      <c r="AC410" s="2">
        <f t="shared" si="108"/>
        <v>13</v>
      </c>
      <c r="AD410" s="2">
        <f t="shared" si="109"/>
        <v>0</v>
      </c>
      <c r="AE410" s="2">
        <f t="shared" si="110"/>
        <v>0</v>
      </c>
      <c r="AF410" s="2">
        <f t="shared" si="111"/>
        <v>10</v>
      </c>
      <c r="AG410" s="2">
        <f t="shared" si="112"/>
        <v>0</v>
      </c>
      <c r="AH410" s="2">
        <f t="shared" si="113"/>
        <v>0</v>
      </c>
      <c r="AI410" s="1">
        <f t="shared" si="114"/>
        <v>34.488</v>
      </c>
      <c r="AJ410" s="1">
        <f t="shared" si="115"/>
        <v>23.400000000000002</v>
      </c>
      <c r="AK410" s="1" t="str">
        <f t="shared" si="116"/>
        <v/>
      </c>
      <c r="AL410" s="1" t="str">
        <f t="shared" si="117"/>
        <v/>
      </c>
      <c r="AM410" s="1">
        <f t="shared" si="102"/>
        <v>130</v>
      </c>
      <c r="AN410" s="5">
        <f t="shared" si="103"/>
        <v>0</v>
      </c>
      <c r="AO410" s="1" t="str">
        <f t="shared" si="118"/>
        <v/>
      </c>
    </row>
    <row r="411" spans="1:41">
      <c r="A411" t="s">
        <v>1470</v>
      </c>
      <c r="B411" t="s">
        <v>667</v>
      </c>
      <c r="C411" t="s">
        <v>1471</v>
      </c>
      <c r="D411">
        <v>390</v>
      </c>
      <c r="E411">
        <v>89</v>
      </c>
      <c r="F411">
        <v>0</v>
      </c>
      <c r="G411">
        <v>1</v>
      </c>
      <c r="H411">
        <v>1</v>
      </c>
      <c r="L411" t="s">
        <v>1472</v>
      </c>
      <c r="M411" t="s">
        <v>1438</v>
      </c>
      <c r="N411" t="s">
        <v>671</v>
      </c>
      <c r="O411">
        <v>0</v>
      </c>
      <c r="P411" t="s">
        <v>360</v>
      </c>
      <c r="Q411" t="s">
        <v>134</v>
      </c>
      <c r="R411">
        <v>10695</v>
      </c>
      <c r="S411" t="s">
        <v>1438</v>
      </c>
      <c r="U411" t="s">
        <v>361</v>
      </c>
      <c r="V411" t="s">
        <v>362</v>
      </c>
      <c r="W411">
        <v>12278656</v>
      </c>
      <c r="X411" t="s">
        <v>363</v>
      </c>
      <c r="Y411">
        <f t="shared" si="104"/>
        <v>3.4709999999999998E-2</v>
      </c>
      <c r="Z411">
        <f t="shared" si="105"/>
        <v>0.95799999999999996</v>
      </c>
      <c r="AA411">
        <f t="shared" si="106"/>
        <v>0.39</v>
      </c>
      <c r="AB411" s="2">
        <f t="shared" si="107"/>
        <v>16</v>
      </c>
      <c r="AC411" s="2">
        <f t="shared" si="108"/>
        <v>13</v>
      </c>
      <c r="AD411" s="2">
        <f t="shared" si="109"/>
        <v>0</v>
      </c>
      <c r="AE411" s="2">
        <f t="shared" si="110"/>
        <v>0</v>
      </c>
      <c r="AF411" s="2">
        <f t="shared" si="111"/>
        <v>10</v>
      </c>
      <c r="AG411" s="2">
        <f t="shared" si="112"/>
        <v>0</v>
      </c>
      <c r="AH411" s="2">
        <f t="shared" si="113"/>
        <v>0</v>
      </c>
      <c r="AI411" s="1">
        <f t="shared" si="114"/>
        <v>34.488</v>
      </c>
      <c r="AJ411" s="1">
        <f t="shared" si="115"/>
        <v>23.400000000000002</v>
      </c>
      <c r="AK411" s="1" t="str">
        <f t="shared" si="116"/>
        <v/>
      </c>
      <c r="AL411" s="1" t="str">
        <f t="shared" si="117"/>
        <v/>
      </c>
      <c r="AM411" s="1">
        <f t="shared" si="102"/>
        <v>130</v>
      </c>
      <c r="AN411" s="5">
        <f t="shared" si="103"/>
        <v>0</v>
      </c>
      <c r="AO411" s="1" t="str">
        <f t="shared" si="118"/>
        <v/>
      </c>
    </row>
    <row r="412" spans="1:41">
      <c r="A412" t="s">
        <v>1473</v>
      </c>
      <c r="B412" t="s">
        <v>667</v>
      </c>
      <c r="C412" t="s">
        <v>1474</v>
      </c>
      <c r="D412">
        <v>437</v>
      </c>
      <c r="E412">
        <v>63</v>
      </c>
      <c r="F412">
        <v>0</v>
      </c>
      <c r="G412">
        <v>1</v>
      </c>
      <c r="H412">
        <v>1</v>
      </c>
      <c r="L412" t="s">
        <v>1475</v>
      </c>
      <c r="M412" t="s">
        <v>1446</v>
      </c>
      <c r="N412" t="s">
        <v>671</v>
      </c>
      <c r="O412">
        <v>0</v>
      </c>
      <c r="P412" t="s">
        <v>360</v>
      </c>
      <c r="Q412" t="s">
        <v>134</v>
      </c>
      <c r="R412">
        <v>10695</v>
      </c>
      <c r="S412" t="s">
        <v>1446</v>
      </c>
      <c r="U412" t="s">
        <v>361</v>
      </c>
      <c r="V412" t="s">
        <v>362</v>
      </c>
      <c r="W412">
        <v>12278659</v>
      </c>
      <c r="X412" t="s">
        <v>363</v>
      </c>
      <c r="Y412">
        <f t="shared" si="104"/>
        <v>2.7531E-2</v>
      </c>
      <c r="Z412">
        <f t="shared" si="105"/>
        <v>1</v>
      </c>
      <c r="AA412">
        <f t="shared" si="106"/>
        <v>0.437</v>
      </c>
      <c r="AB412" s="2">
        <f t="shared" si="107"/>
        <v>16</v>
      </c>
      <c r="AC412" s="2">
        <f t="shared" si="108"/>
        <v>13</v>
      </c>
      <c r="AD412" s="2">
        <f t="shared" si="109"/>
        <v>0</v>
      </c>
      <c r="AE412" s="2">
        <f t="shared" si="110"/>
        <v>0</v>
      </c>
      <c r="AF412" s="2">
        <f t="shared" si="111"/>
        <v>10</v>
      </c>
      <c r="AG412" s="2">
        <f t="shared" si="112"/>
        <v>0</v>
      </c>
      <c r="AH412" s="2">
        <f t="shared" si="113"/>
        <v>0</v>
      </c>
      <c r="AI412" s="1">
        <f t="shared" si="114"/>
        <v>36</v>
      </c>
      <c r="AJ412" s="1">
        <f t="shared" si="115"/>
        <v>26.22</v>
      </c>
      <c r="AK412" s="1" t="str">
        <f t="shared" si="116"/>
        <v/>
      </c>
      <c r="AL412" s="1" t="str">
        <f t="shared" si="117"/>
        <v/>
      </c>
      <c r="AM412" s="1">
        <f t="shared" si="102"/>
        <v>130</v>
      </c>
      <c r="AN412" s="5">
        <f t="shared" si="103"/>
        <v>0</v>
      </c>
      <c r="AO412" s="1" t="str">
        <f t="shared" si="118"/>
        <v/>
      </c>
    </row>
    <row r="413" spans="1:41">
      <c r="A413" t="s">
        <v>1476</v>
      </c>
      <c r="B413" t="s">
        <v>667</v>
      </c>
      <c r="C413" t="s">
        <v>1477</v>
      </c>
      <c r="D413">
        <v>400</v>
      </c>
      <c r="E413">
        <v>89</v>
      </c>
      <c r="F413">
        <v>0</v>
      </c>
      <c r="G413">
        <v>4</v>
      </c>
      <c r="H413">
        <v>1</v>
      </c>
      <c r="L413" t="s">
        <v>1478</v>
      </c>
      <c r="M413" t="s">
        <v>1479</v>
      </c>
      <c r="N413" t="s">
        <v>671</v>
      </c>
      <c r="O413">
        <v>0</v>
      </c>
      <c r="P413" t="s">
        <v>133</v>
      </c>
      <c r="Q413" t="s">
        <v>134</v>
      </c>
      <c r="R413">
        <v>10695</v>
      </c>
      <c r="S413" t="s">
        <v>1479</v>
      </c>
      <c r="U413" t="s">
        <v>135</v>
      </c>
      <c r="V413" t="s">
        <v>136</v>
      </c>
      <c r="W413">
        <v>12278873</v>
      </c>
      <c r="X413" t="s">
        <v>137</v>
      </c>
      <c r="Y413">
        <f t="shared" si="104"/>
        <v>0.1424</v>
      </c>
      <c r="Z413">
        <f t="shared" si="105"/>
        <v>3.9119999999999999</v>
      </c>
      <c r="AA413">
        <f t="shared" si="106"/>
        <v>1.6</v>
      </c>
      <c r="AB413" s="2">
        <f t="shared" si="107"/>
        <v>19</v>
      </c>
      <c r="AC413" s="2">
        <f t="shared" si="108"/>
        <v>13</v>
      </c>
      <c r="AD413" s="2">
        <f t="shared" si="109"/>
        <v>0</v>
      </c>
      <c r="AE413" s="2">
        <f t="shared" si="110"/>
        <v>0</v>
      </c>
      <c r="AF413" s="2">
        <f t="shared" si="111"/>
        <v>10</v>
      </c>
      <c r="AG413" s="2">
        <f t="shared" si="112"/>
        <v>0</v>
      </c>
      <c r="AH413" s="2">
        <f t="shared" si="113"/>
        <v>0</v>
      </c>
      <c r="AI413" s="1">
        <f t="shared" si="114"/>
        <v>140.83199999999999</v>
      </c>
      <c r="AJ413" s="1">
        <f t="shared" si="115"/>
        <v>96</v>
      </c>
      <c r="AK413" s="1" t="str">
        <f t="shared" si="116"/>
        <v/>
      </c>
      <c r="AL413" s="1" t="str">
        <f t="shared" si="117"/>
        <v/>
      </c>
      <c r="AM413" s="1">
        <f t="shared" si="102"/>
        <v>520</v>
      </c>
      <c r="AN413" s="5">
        <f t="shared" si="103"/>
        <v>0</v>
      </c>
      <c r="AO413" s="1" t="str">
        <f t="shared" si="118"/>
        <v/>
      </c>
    </row>
    <row r="414" spans="1:41">
      <c r="A414" t="s">
        <v>1480</v>
      </c>
      <c r="B414" t="s">
        <v>667</v>
      </c>
      <c r="C414" t="s">
        <v>1481</v>
      </c>
      <c r="D414">
        <v>400</v>
      </c>
      <c r="E414">
        <v>89</v>
      </c>
      <c r="F414">
        <v>0</v>
      </c>
      <c r="G414">
        <v>4</v>
      </c>
      <c r="H414">
        <v>1</v>
      </c>
      <c r="L414" t="s">
        <v>1482</v>
      </c>
      <c r="M414" t="s">
        <v>1483</v>
      </c>
      <c r="N414" t="s">
        <v>671</v>
      </c>
      <c r="O414">
        <v>0</v>
      </c>
      <c r="P414" t="s">
        <v>133</v>
      </c>
      <c r="Q414" t="s">
        <v>134</v>
      </c>
      <c r="R414">
        <v>10695</v>
      </c>
      <c r="S414" t="s">
        <v>1483</v>
      </c>
      <c r="U414" t="s">
        <v>135</v>
      </c>
      <c r="V414" t="s">
        <v>136</v>
      </c>
      <c r="W414">
        <v>12278870</v>
      </c>
      <c r="X414" t="s">
        <v>137</v>
      </c>
      <c r="Y414">
        <f t="shared" si="104"/>
        <v>0.1424</v>
      </c>
      <c r="Z414">
        <f t="shared" si="105"/>
        <v>3.9119999999999999</v>
      </c>
      <c r="AA414">
        <f t="shared" si="106"/>
        <v>1.6</v>
      </c>
      <c r="AB414" s="2">
        <f t="shared" si="107"/>
        <v>19</v>
      </c>
      <c r="AC414" s="2">
        <f t="shared" si="108"/>
        <v>13</v>
      </c>
      <c r="AD414" s="2">
        <f t="shared" si="109"/>
        <v>0</v>
      </c>
      <c r="AE414" s="2">
        <f t="shared" si="110"/>
        <v>0</v>
      </c>
      <c r="AF414" s="2">
        <f t="shared" si="111"/>
        <v>10</v>
      </c>
      <c r="AG414" s="2">
        <f t="shared" si="112"/>
        <v>0</v>
      </c>
      <c r="AH414" s="2">
        <f t="shared" si="113"/>
        <v>0</v>
      </c>
      <c r="AI414" s="1">
        <f t="shared" si="114"/>
        <v>140.83199999999999</v>
      </c>
      <c r="AJ414" s="1">
        <f t="shared" si="115"/>
        <v>96</v>
      </c>
      <c r="AK414" s="1" t="str">
        <f t="shared" si="116"/>
        <v/>
      </c>
      <c r="AL414" s="1" t="str">
        <f t="shared" si="117"/>
        <v/>
      </c>
      <c r="AM414" s="1">
        <f t="shared" si="102"/>
        <v>520</v>
      </c>
      <c r="AN414" s="5">
        <f t="shared" si="103"/>
        <v>0</v>
      </c>
      <c r="AO414" s="1" t="str">
        <f t="shared" si="118"/>
        <v/>
      </c>
    </row>
    <row r="415" spans="1:41">
      <c r="A415" t="s">
        <v>1484</v>
      </c>
      <c r="B415" t="s">
        <v>667</v>
      </c>
      <c r="C415" t="s">
        <v>1485</v>
      </c>
      <c r="D415">
        <v>368</v>
      </c>
      <c r="E415">
        <v>76</v>
      </c>
      <c r="F415">
        <v>0</v>
      </c>
      <c r="G415">
        <v>4</v>
      </c>
      <c r="H415">
        <v>1</v>
      </c>
      <c r="L415" t="s">
        <v>1486</v>
      </c>
      <c r="M415" t="s">
        <v>1487</v>
      </c>
      <c r="N415" t="s">
        <v>671</v>
      </c>
      <c r="O415">
        <v>0</v>
      </c>
      <c r="P415" t="s">
        <v>133</v>
      </c>
      <c r="Q415" t="s">
        <v>134</v>
      </c>
      <c r="R415">
        <v>10695</v>
      </c>
      <c r="S415" t="s">
        <v>1487</v>
      </c>
      <c r="U415" t="s">
        <v>135</v>
      </c>
      <c r="V415" t="s">
        <v>136</v>
      </c>
      <c r="W415">
        <v>12278865</v>
      </c>
      <c r="X415" t="s">
        <v>137</v>
      </c>
      <c r="Y415">
        <f t="shared" si="104"/>
        <v>0.111872</v>
      </c>
      <c r="Z415">
        <f t="shared" si="105"/>
        <v>3.552</v>
      </c>
      <c r="AA415">
        <f t="shared" si="106"/>
        <v>1.472</v>
      </c>
      <c r="AB415" s="2">
        <f t="shared" si="107"/>
        <v>16</v>
      </c>
      <c r="AC415" s="2">
        <f t="shared" si="108"/>
        <v>13</v>
      </c>
      <c r="AD415" s="2">
        <f t="shared" si="109"/>
        <v>0</v>
      </c>
      <c r="AE415" s="2">
        <f t="shared" si="110"/>
        <v>0</v>
      </c>
      <c r="AF415" s="2">
        <f t="shared" si="111"/>
        <v>10</v>
      </c>
      <c r="AG415" s="2">
        <f t="shared" si="112"/>
        <v>0</v>
      </c>
      <c r="AH415" s="2">
        <f t="shared" si="113"/>
        <v>0</v>
      </c>
      <c r="AI415" s="1">
        <f t="shared" si="114"/>
        <v>127.872</v>
      </c>
      <c r="AJ415" s="1">
        <f t="shared" si="115"/>
        <v>88.32</v>
      </c>
      <c r="AK415" s="1" t="str">
        <f t="shared" si="116"/>
        <v/>
      </c>
      <c r="AL415" s="1" t="str">
        <f t="shared" si="117"/>
        <v/>
      </c>
      <c r="AM415" s="1">
        <f t="shared" si="102"/>
        <v>520</v>
      </c>
      <c r="AN415" s="5">
        <f t="shared" si="103"/>
        <v>0</v>
      </c>
      <c r="AO415" s="1" t="str">
        <f t="shared" si="118"/>
        <v/>
      </c>
    </row>
    <row r="416" spans="1:41">
      <c r="A416" t="s">
        <v>1488</v>
      </c>
      <c r="B416" t="s">
        <v>667</v>
      </c>
      <c r="C416" t="s">
        <v>1489</v>
      </c>
      <c r="D416">
        <v>384</v>
      </c>
      <c r="E416">
        <v>89</v>
      </c>
      <c r="F416">
        <v>0</v>
      </c>
      <c r="G416">
        <v>2</v>
      </c>
      <c r="H416">
        <v>1</v>
      </c>
      <c r="L416" t="s">
        <v>1490</v>
      </c>
      <c r="M416" t="s">
        <v>1491</v>
      </c>
      <c r="N416" t="s">
        <v>671</v>
      </c>
      <c r="O416">
        <v>0</v>
      </c>
      <c r="P416" t="s">
        <v>133</v>
      </c>
      <c r="Q416" t="s">
        <v>134</v>
      </c>
      <c r="R416">
        <v>10695</v>
      </c>
      <c r="S416" t="s">
        <v>1491</v>
      </c>
      <c r="U416" t="s">
        <v>135</v>
      </c>
      <c r="V416" t="s">
        <v>136</v>
      </c>
      <c r="W416">
        <v>12278899</v>
      </c>
      <c r="X416" t="s">
        <v>137</v>
      </c>
      <c r="Y416">
        <f t="shared" si="104"/>
        <v>6.8351999999999996E-2</v>
      </c>
      <c r="Z416">
        <f t="shared" si="105"/>
        <v>1.8919999999999999</v>
      </c>
      <c r="AA416">
        <f t="shared" si="106"/>
        <v>0.76800000000000002</v>
      </c>
      <c r="AB416" s="2">
        <f t="shared" si="107"/>
        <v>19</v>
      </c>
      <c r="AC416" s="2">
        <f t="shared" si="108"/>
        <v>13</v>
      </c>
      <c r="AD416" s="2">
        <f t="shared" si="109"/>
        <v>0</v>
      </c>
      <c r="AE416" s="2">
        <f t="shared" si="110"/>
        <v>0</v>
      </c>
      <c r="AF416" s="2">
        <f t="shared" si="111"/>
        <v>10</v>
      </c>
      <c r="AG416" s="2">
        <f t="shared" si="112"/>
        <v>0</v>
      </c>
      <c r="AH416" s="2">
        <f t="shared" si="113"/>
        <v>0</v>
      </c>
      <c r="AI416" s="1">
        <f t="shared" si="114"/>
        <v>68.111999999999995</v>
      </c>
      <c r="AJ416" s="1">
        <f t="shared" si="115"/>
        <v>46.08</v>
      </c>
      <c r="AK416" s="1" t="str">
        <f t="shared" si="116"/>
        <v/>
      </c>
      <c r="AL416" s="1" t="str">
        <f t="shared" si="117"/>
        <v/>
      </c>
      <c r="AM416" s="1">
        <f t="shared" si="102"/>
        <v>260</v>
      </c>
      <c r="AN416" s="5">
        <f t="shared" si="103"/>
        <v>0</v>
      </c>
      <c r="AO416" s="1" t="str">
        <f t="shared" si="118"/>
        <v/>
      </c>
    </row>
    <row r="417" spans="1:41">
      <c r="A417" t="s">
        <v>1492</v>
      </c>
      <c r="B417" t="s">
        <v>667</v>
      </c>
      <c r="C417" t="s">
        <v>1493</v>
      </c>
      <c r="D417">
        <v>384</v>
      </c>
      <c r="E417">
        <v>89</v>
      </c>
      <c r="F417">
        <v>0</v>
      </c>
      <c r="G417">
        <v>2</v>
      </c>
      <c r="H417">
        <v>1</v>
      </c>
      <c r="L417" t="s">
        <v>1494</v>
      </c>
      <c r="M417" t="s">
        <v>1495</v>
      </c>
      <c r="N417" t="s">
        <v>671</v>
      </c>
      <c r="O417">
        <v>0</v>
      </c>
      <c r="P417" t="s">
        <v>133</v>
      </c>
      <c r="Q417" t="s">
        <v>134</v>
      </c>
      <c r="R417">
        <v>10695</v>
      </c>
      <c r="S417" t="s">
        <v>1495</v>
      </c>
      <c r="U417" t="s">
        <v>135</v>
      </c>
      <c r="V417" t="s">
        <v>136</v>
      </c>
      <c r="W417">
        <v>12278902</v>
      </c>
      <c r="X417" t="s">
        <v>137</v>
      </c>
      <c r="Y417">
        <f t="shared" si="104"/>
        <v>6.8351999999999996E-2</v>
      </c>
      <c r="Z417">
        <f t="shared" si="105"/>
        <v>1.8919999999999999</v>
      </c>
      <c r="AA417">
        <f t="shared" si="106"/>
        <v>0.76800000000000002</v>
      </c>
      <c r="AB417" s="2">
        <f t="shared" si="107"/>
        <v>19</v>
      </c>
      <c r="AC417" s="2">
        <f t="shared" si="108"/>
        <v>13</v>
      </c>
      <c r="AD417" s="2">
        <f t="shared" si="109"/>
        <v>0</v>
      </c>
      <c r="AE417" s="2">
        <f t="shared" si="110"/>
        <v>0</v>
      </c>
      <c r="AF417" s="2">
        <f t="shared" si="111"/>
        <v>10</v>
      </c>
      <c r="AG417" s="2">
        <f t="shared" si="112"/>
        <v>0</v>
      </c>
      <c r="AH417" s="2">
        <f t="shared" si="113"/>
        <v>0</v>
      </c>
      <c r="AI417" s="1">
        <f t="shared" si="114"/>
        <v>68.111999999999995</v>
      </c>
      <c r="AJ417" s="1">
        <f t="shared" si="115"/>
        <v>46.08</v>
      </c>
      <c r="AK417" s="1" t="str">
        <f t="shared" si="116"/>
        <v/>
      </c>
      <c r="AL417" s="1" t="str">
        <f t="shared" si="117"/>
        <v/>
      </c>
      <c r="AM417" s="1">
        <f t="shared" si="102"/>
        <v>260</v>
      </c>
      <c r="AN417" s="5">
        <f t="shared" si="103"/>
        <v>0</v>
      </c>
      <c r="AO417" s="1" t="str">
        <f t="shared" si="118"/>
        <v/>
      </c>
    </row>
    <row r="418" spans="1:41">
      <c r="A418" t="s">
        <v>1496</v>
      </c>
      <c r="B418" t="s">
        <v>667</v>
      </c>
      <c r="C418" t="s">
        <v>1497</v>
      </c>
      <c r="D418">
        <v>171</v>
      </c>
      <c r="E418">
        <v>82</v>
      </c>
      <c r="F418">
        <v>0</v>
      </c>
      <c r="G418">
        <v>1</v>
      </c>
      <c r="H418">
        <v>1</v>
      </c>
      <c r="J418">
        <v>1</v>
      </c>
      <c r="K418">
        <v>1</v>
      </c>
      <c r="L418" t="s">
        <v>1498</v>
      </c>
      <c r="M418" t="s">
        <v>1499</v>
      </c>
      <c r="N418" t="s">
        <v>671</v>
      </c>
      <c r="O418">
        <v>0</v>
      </c>
      <c r="P418" t="s">
        <v>360</v>
      </c>
      <c r="Q418" t="s">
        <v>134</v>
      </c>
      <c r="R418">
        <v>10695</v>
      </c>
      <c r="S418" t="s">
        <v>1499</v>
      </c>
      <c r="U418" t="s">
        <v>361</v>
      </c>
      <c r="V418" t="s">
        <v>362</v>
      </c>
      <c r="W418">
        <v>12278571</v>
      </c>
      <c r="X418" t="s">
        <v>797</v>
      </c>
      <c r="Y418">
        <f t="shared" si="104"/>
        <v>1.4022E-2</v>
      </c>
      <c r="Z418">
        <f t="shared" si="105"/>
        <v>0.50600000000000001</v>
      </c>
      <c r="AA418">
        <f t="shared" si="106"/>
        <v>0.33500000000000002</v>
      </c>
      <c r="AB418" s="2">
        <f t="shared" si="107"/>
        <v>19</v>
      </c>
      <c r="AC418" s="2">
        <f t="shared" si="108"/>
        <v>13</v>
      </c>
      <c r="AD418" s="2">
        <f t="shared" si="109"/>
        <v>0</v>
      </c>
      <c r="AE418" s="2">
        <f t="shared" si="110"/>
        <v>0</v>
      </c>
      <c r="AF418" s="2">
        <f t="shared" si="111"/>
        <v>10</v>
      </c>
      <c r="AG418" s="2">
        <f t="shared" si="112"/>
        <v>0</v>
      </c>
      <c r="AH418" s="2">
        <f t="shared" si="113"/>
        <v>0</v>
      </c>
      <c r="AI418" s="1">
        <f t="shared" si="114"/>
        <v>18.216000000000001</v>
      </c>
      <c r="AJ418" s="1">
        <f t="shared" si="115"/>
        <v>20.100000000000001</v>
      </c>
      <c r="AK418" s="1" t="str">
        <f t="shared" si="116"/>
        <v/>
      </c>
      <c r="AL418" s="1" t="str">
        <f t="shared" si="117"/>
        <v/>
      </c>
      <c r="AM418" s="1">
        <f t="shared" si="102"/>
        <v>130</v>
      </c>
      <c r="AN418" s="5">
        <f t="shared" si="103"/>
        <v>0</v>
      </c>
      <c r="AO418" s="1" t="str">
        <f t="shared" si="118"/>
        <v/>
      </c>
    </row>
    <row r="419" spans="1:41">
      <c r="A419" t="s">
        <v>1500</v>
      </c>
      <c r="B419" t="s">
        <v>667</v>
      </c>
      <c r="C419" t="s">
        <v>1501</v>
      </c>
      <c r="D419">
        <v>171</v>
      </c>
      <c r="E419">
        <v>82</v>
      </c>
      <c r="F419">
        <v>0</v>
      </c>
      <c r="G419">
        <v>1</v>
      </c>
      <c r="H419">
        <v>1</v>
      </c>
      <c r="J419">
        <v>1</v>
      </c>
      <c r="K419">
        <v>1</v>
      </c>
      <c r="L419" t="s">
        <v>1502</v>
      </c>
      <c r="M419" t="s">
        <v>1503</v>
      </c>
      <c r="N419" t="s">
        <v>671</v>
      </c>
      <c r="O419">
        <v>0</v>
      </c>
      <c r="P419" t="s">
        <v>360</v>
      </c>
      <c r="Q419" t="s">
        <v>134</v>
      </c>
      <c r="R419">
        <v>10695</v>
      </c>
      <c r="S419" t="s">
        <v>1503</v>
      </c>
      <c r="U419" t="s">
        <v>361</v>
      </c>
      <c r="V419" t="s">
        <v>362</v>
      </c>
      <c r="W419">
        <v>12278568</v>
      </c>
      <c r="X419" t="s">
        <v>797</v>
      </c>
      <c r="Y419">
        <f t="shared" si="104"/>
        <v>1.4022E-2</v>
      </c>
      <c r="Z419">
        <f t="shared" si="105"/>
        <v>0.50600000000000001</v>
      </c>
      <c r="AA419">
        <f t="shared" si="106"/>
        <v>0.33500000000000002</v>
      </c>
      <c r="AB419" s="2">
        <f t="shared" si="107"/>
        <v>19</v>
      </c>
      <c r="AC419" s="2">
        <f t="shared" si="108"/>
        <v>13</v>
      </c>
      <c r="AD419" s="2">
        <f t="shared" si="109"/>
        <v>0</v>
      </c>
      <c r="AE419" s="2">
        <f t="shared" si="110"/>
        <v>0</v>
      </c>
      <c r="AF419" s="2">
        <f t="shared" si="111"/>
        <v>10</v>
      </c>
      <c r="AG419" s="2">
        <f t="shared" si="112"/>
        <v>0</v>
      </c>
      <c r="AH419" s="2">
        <f t="shared" si="113"/>
        <v>0</v>
      </c>
      <c r="AI419" s="1">
        <f t="shared" si="114"/>
        <v>18.216000000000001</v>
      </c>
      <c r="AJ419" s="1">
        <f t="shared" si="115"/>
        <v>20.100000000000001</v>
      </c>
      <c r="AK419" s="1" t="str">
        <f t="shared" si="116"/>
        <v/>
      </c>
      <c r="AL419" s="1" t="str">
        <f t="shared" si="117"/>
        <v/>
      </c>
      <c r="AM419" s="1">
        <f t="shared" si="102"/>
        <v>130</v>
      </c>
      <c r="AN419" s="5">
        <f t="shared" si="103"/>
        <v>0</v>
      </c>
      <c r="AO419" s="1" t="str">
        <f t="shared" si="118"/>
        <v/>
      </c>
    </row>
    <row r="420" spans="1:41">
      <c r="A420" t="s">
        <v>1504</v>
      </c>
      <c r="B420" t="s">
        <v>667</v>
      </c>
      <c r="C420" t="s">
        <v>1505</v>
      </c>
      <c r="D420">
        <v>246</v>
      </c>
      <c r="E420">
        <v>80</v>
      </c>
      <c r="F420">
        <v>0</v>
      </c>
      <c r="G420">
        <v>2</v>
      </c>
      <c r="L420" t="s">
        <v>1506</v>
      </c>
      <c r="M420" t="s">
        <v>1507</v>
      </c>
      <c r="N420" t="s">
        <v>671</v>
      </c>
      <c r="O420">
        <v>0</v>
      </c>
      <c r="P420" t="s">
        <v>806</v>
      </c>
      <c r="Q420" t="s">
        <v>134</v>
      </c>
      <c r="R420">
        <v>10695</v>
      </c>
      <c r="S420" t="s">
        <v>1507</v>
      </c>
      <c r="U420" t="s">
        <v>105</v>
      </c>
      <c r="V420" t="s">
        <v>807</v>
      </c>
      <c r="W420">
        <v>12278765</v>
      </c>
      <c r="X420" t="s">
        <v>826</v>
      </c>
      <c r="Y420">
        <f t="shared" si="104"/>
        <v>3.9359999999999999E-2</v>
      </c>
      <c r="Z420">
        <f t="shared" si="105"/>
        <v>1.304</v>
      </c>
      <c r="AA420">
        <f t="shared" si="106"/>
        <v>0</v>
      </c>
      <c r="AB420" s="2">
        <f t="shared" si="107"/>
        <v>12</v>
      </c>
      <c r="AC420" s="2">
        <f t="shared" si="108"/>
        <v>0</v>
      </c>
      <c r="AD420" s="2">
        <f t="shared" si="109"/>
        <v>0</v>
      </c>
      <c r="AE420" s="2">
        <f t="shared" si="110"/>
        <v>0</v>
      </c>
      <c r="AF420" s="2">
        <f t="shared" si="111"/>
        <v>9</v>
      </c>
      <c r="AG420" s="2">
        <f t="shared" si="112"/>
        <v>0</v>
      </c>
      <c r="AH420" s="2">
        <f t="shared" si="113"/>
        <v>0</v>
      </c>
      <c r="AI420" s="1">
        <f t="shared" si="114"/>
        <v>46.944000000000003</v>
      </c>
      <c r="AJ420" s="1">
        <f t="shared" si="115"/>
        <v>0</v>
      </c>
      <c r="AK420" s="1" t="str">
        <f t="shared" si="116"/>
        <v/>
      </c>
      <c r="AL420" s="1" t="str">
        <f t="shared" si="117"/>
        <v/>
      </c>
      <c r="AM420" s="1">
        <f t="shared" si="102"/>
        <v>260</v>
      </c>
      <c r="AN420" s="5">
        <f t="shared" si="103"/>
        <v>0</v>
      </c>
      <c r="AO420" s="1" t="str">
        <f t="shared" si="118"/>
        <v/>
      </c>
    </row>
    <row r="421" spans="1:41">
      <c r="A421" t="s">
        <v>1508</v>
      </c>
      <c r="B421" t="s">
        <v>667</v>
      </c>
      <c r="C421" t="s">
        <v>1509</v>
      </c>
      <c r="D421">
        <v>368</v>
      </c>
      <c r="E421">
        <v>102</v>
      </c>
      <c r="F421">
        <v>0</v>
      </c>
      <c r="G421">
        <v>10</v>
      </c>
      <c r="H421">
        <v>1</v>
      </c>
      <c r="L421" t="s">
        <v>1510</v>
      </c>
      <c r="M421" t="s">
        <v>1511</v>
      </c>
      <c r="N421" t="s">
        <v>671</v>
      </c>
      <c r="O421">
        <v>0</v>
      </c>
      <c r="P421" t="s">
        <v>406</v>
      </c>
      <c r="Q421" t="s">
        <v>374</v>
      </c>
      <c r="R421">
        <v>3136</v>
      </c>
      <c r="S421" t="s">
        <v>1511</v>
      </c>
      <c r="U421" t="s">
        <v>83</v>
      </c>
      <c r="V421" t="s">
        <v>407</v>
      </c>
      <c r="W421">
        <v>12277688</v>
      </c>
      <c r="X421" t="s">
        <v>406</v>
      </c>
      <c r="Y421">
        <f t="shared" si="104"/>
        <v>0.37536000000000003</v>
      </c>
      <c r="Z421">
        <f t="shared" si="105"/>
        <v>9.3999999999999986</v>
      </c>
      <c r="AA421">
        <f t="shared" si="106"/>
        <v>3.6799999999999997</v>
      </c>
      <c r="AB421" s="2">
        <f t="shared" si="107"/>
        <v>14</v>
      </c>
      <c r="AC421" s="2">
        <f t="shared" si="108"/>
        <v>11</v>
      </c>
      <c r="AD421" s="2">
        <f t="shared" si="109"/>
        <v>0</v>
      </c>
      <c r="AE421" s="2">
        <f t="shared" si="110"/>
        <v>0</v>
      </c>
      <c r="AF421" s="2">
        <f t="shared" si="111"/>
        <v>8</v>
      </c>
      <c r="AG421" s="2">
        <f t="shared" si="112"/>
        <v>0</v>
      </c>
      <c r="AH421" s="2">
        <f t="shared" si="113"/>
        <v>0</v>
      </c>
      <c r="AI421" s="1">
        <f t="shared" si="114"/>
        <v>338.4</v>
      </c>
      <c r="AJ421" s="1">
        <f t="shared" si="115"/>
        <v>220.79999999999998</v>
      </c>
      <c r="AK421" s="1" t="str">
        <f t="shared" si="116"/>
        <v/>
      </c>
      <c r="AL421" s="1" t="str">
        <f t="shared" si="117"/>
        <v/>
      </c>
      <c r="AM421" s="1">
        <f t="shared" si="102"/>
        <v>1300</v>
      </c>
      <c r="AN421" s="5">
        <f t="shared" si="103"/>
        <v>0</v>
      </c>
      <c r="AO421" s="1" t="str">
        <f t="shared" si="118"/>
        <v/>
      </c>
    </row>
    <row r="422" spans="1:41">
      <c r="A422" t="s">
        <v>1512</v>
      </c>
      <c r="B422" t="s">
        <v>667</v>
      </c>
      <c r="C422" t="s">
        <v>1513</v>
      </c>
      <c r="D422">
        <v>368</v>
      </c>
      <c r="E422">
        <v>66</v>
      </c>
      <c r="F422">
        <v>0</v>
      </c>
      <c r="G422">
        <v>5</v>
      </c>
      <c r="H422">
        <v>1</v>
      </c>
      <c r="L422" t="s">
        <v>1514</v>
      </c>
      <c r="M422" t="s">
        <v>1515</v>
      </c>
      <c r="N422" t="s">
        <v>671</v>
      </c>
      <c r="O422">
        <v>0</v>
      </c>
      <c r="P422" t="s">
        <v>406</v>
      </c>
      <c r="Q422" t="s">
        <v>374</v>
      </c>
      <c r="R422">
        <v>3136</v>
      </c>
      <c r="S422" t="s">
        <v>1515</v>
      </c>
      <c r="U422" t="s">
        <v>83</v>
      </c>
      <c r="V422" t="s">
        <v>407</v>
      </c>
      <c r="W422">
        <v>12277682</v>
      </c>
      <c r="X422" t="s">
        <v>406</v>
      </c>
      <c r="Y422">
        <f t="shared" si="104"/>
        <v>0.12144000000000001</v>
      </c>
      <c r="Z422">
        <f t="shared" si="105"/>
        <v>4.34</v>
      </c>
      <c r="AA422">
        <f t="shared" si="106"/>
        <v>1.8399999999999999</v>
      </c>
      <c r="AB422" s="2">
        <f t="shared" si="107"/>
        <v>14</v>
      </c>
      <c r="AC422" s="2">
        <f t="shared" si="108"/>
        <v>11</v>
      </c>
      <c r="AD422" s="2">
        <f t="shared" si="109"/>
        <v>0</v>
      </c>
      <c r="AE422" s="2">
        <f t="shared" si="110"/>
        <v>0</v>
      </c>
      <c r="AF422" s="2">
        <f t="shared" si="111"/>
        <v>8</v>
      </c>
      <c r="AG422" s="2">
        <f t="shared" si="112"/>
        <v>0</v>
      </c>
      <c r="AH422" s="2">
        <f t="shared" si="113"/>
        <v>0</v>
      </c>
      <c r="AI422" s="1">
        <f t="shared" si="114"/>
        <v>156.24</v>
      </c>
      <c r="AJ422" s="1">
        <f t="shared" si="115"/>
        <v>110.39999999999999</v>
      </c>
      <c r="AK422" s="1" t="str">
        <f t="shared" si="116"/>
        <v/>
      </c>
      <c r="AL422" s="1" t="str">
        <f t="shared" si="117"/>
        <v/>
      </c>
      <c r="AM422" s="1">
        <f t="shared" si="102"/>
        <v>650</v>
      </c>
      <c r="AN422" s="5">
        <f t="shared" si="103"/>
        <v>0</v>
      </c>
      <c r="AO422" s="1" t="str">
        <f t="shared" si="118"/>
        <v/>
      </c>
    </row>
    <row r="423" spans="1:41">
      <c r="A423" t="s">
        <v>1516</v>
      </c>
      <c r="B423" t="s">
        <v>667</v>
      </c>
      <c r="C423" t="s">
        <v>1517</v>
      </c>
      <c r="D423">
        <v>400</v>
      </c>
      <c r="E423">
        <v>115</v>
      </c>
      <c r="F423">
        <v>0</v>
      </c>
      <c r="G423">
        <v>10</v>
      </c>
      <c r="H423">
        <v>1</v>
      </c>
      <c r="L423" t="s">
        <v>1518</v>
      </c>
      <c r="M423" t="s">
        <v>1519</v>
      </c>
      <c r="N423" t="s">
        <v>671</v>
      </c>
      <c r="O423">
        <v>0</v>
      </c>
      <c r="P423" t="s">
        <v>406</v>
      </c>
      <c r="Q423" t="s">
        <v>374</v>
      </c>
      <c r="R423">
        <v>3136</v>
      </c>
      <c r="S423" t="s">
        <v>1519</v>
      </c>
      <c r="U423" t="s">
        <v>83</v>
      </c>
      <c r="V423" t="s">
        <v>407</v>
      </c>
      <c r="W423">
        <v>12277691</v>
      </c>
      <c r="X423" t="s">
        <v>406</v>
      </c>
      <c r="Y423">
        <f t="shared" si="104"/>
        <v>0.46</v>
      </c>
      <c r="Z423">
        <f t="shared" si="105"/>
        <v>10.3</v>
      </c>
      <c r="AA423">
        <f t="shared" si="106"/>
        <v>4</v>
      </c>
      <c r="AB423" s="2">
        <f t="shared" si="107"/>
        <v>17</v>
      </c>
      <c r="AC423" s="2">
        <f t="shared" si="108"/>
        <v>11</v>
      </c>
      <c r="AD423" s="2">
        <f t="shared" si="109"/>
        <v>0</v>
      </c>
      <c r="AE423" s="2">
        <f t="shared" si="110"/>
        <v>0</v>
      </c>
      <c r="AF423" s="2">
        <f t="shared" si="111"/>
        <v>8</v>
      </c>
      <c r="AG423" s="2">
        <f t="shared" si="112"/>
        <v>0</v>
      </c>
      <c r="AH423" s="2">
        <f t="shared" si="113"/>
        <v>0</v>
      </c>
      <c r="AI423" s="1">
        <f t="shared" si="114"/>
        <v>370.8</v>
      </c>
      <c r="AJ423" s="1">
        <f t="shared" si="115"/>
        <v>240</v>
      </c>
      <c r="AK423" s="1" t="str">
        <f t="shared" si="116"/>
        <v/>
      </c>
      <c r="AL423" s="1" t="str">
        <f t="shared" si="117"/>
        <v/>
      </c>
      <c r="AM423" s="1">
        <f t="shared" si="102"/>
        <v>1300</v>
      </c>
      <c r="AN423" s="5">
        <f t="shared" si="103"/>
        <v>0</v>
      </c>
      <c r="AO423" s="1" t="str">
        <f t="shared" si="118"/>
        <v/>
      </c>
    </row>
    <row r="424" spans="1:41">
      <c r="A424" t="s">
        <v>1520</v>
      </c>
      <c r="B424" t="s">
        <v>667</v>
      </c>
      <c r="C424" t="s">
        <v>1521</v>
      </c>
      <c r="D424">
        <v>400</v>
      </c>
      <c r="E424">
        <v>79</v>
      </c>
      <c r="F424">
        <v>0</v>
      </c>
      <c r="G424">
        <v>5</v>
      </c>
      <c r="H424">
        <v>1</v>
      </c>
      <c r="L424" t="s">
        <v>1522</v>
      </c>
      <c r="M424" t="s">
        <v>1523</v>
      </c>
      <c r="N424" t="s">
        <v>671</v>
      </c>
      <c r="O424">
        <v>0</v>
      </c>
      <c r="P424" t="s">
        <v>406</v>
      </c>
      <c r="Q424" t="s">
        <v>374</v>
      </c>
      <c r="R424">
        <v>3136</v>
      </c>
      <c r="S424" t="s">
        <v>1523</v>
      </c>
      <c r="U424" t="s">
        <v>83</v>
      </c>
      <c r="V424" t="s">
        <v>407</v>
      </c>
      <c r="W424">
        <v>12277685</v>
      </c>
      <c r="X424" t="s">
        <v>406</v>
      </c>
      <c r="Y424">
        <f t="shared" si="104"/>
        <v>0.158</v>
      </c>
      <c r="Z424">
        <f t="shared" si="105"/>
        <v>4.79</v>
      </c>
      <c r="AA424">
        <f t="shared" si="106"/>
        <v>2</v>
      </c>
      <c r="AB424" s="2">
        <f t="shared" si="107"/>
        <v>17</v>
      </c>
      <c r="AC424" s="2">
        <f t="shared" si="108"/>
        <v>11</v>
      </c>
      <c r="AD424" s="2">
        <f t="shared" si="109"/>
        <v>0</v>
      </c>
      <c r="AE424" s="2">
        <f t="shared" si="110"/>
        <v>0</v>
      </c>
      <c r="AF424" s="2">
        <f t="shared" si="111"/>
        <v>8</v>
      </c>
      <c r="AG424" s="2">
        <f t="shared" si="112"/>
        <v>0</v>
      </c>
      <c r="AH424" s="2">
        <f t="shared" si="113"/>
        <v>0</v>
      </c>
      <c r="AI424" s="1">
        <f t="shared" si="114"/>
        <v>172.44</v>
      </c>
      <c r="AJ424" s="1">
        <f t="shared" si="115"/>
        <v>120</v>
      </c>
      <c r="AK424" s="1" t="str">
        <f t="shared" si="116"/>
        <v/>
      </c>
      <c r="AL424" s="1" t="str">
        <f t="shared" si="117"/>
        <v/>
      </c>
      <c r="AM424" s="1">
        <f t="shared" si="102"/>
        <v>650</v>
      </c>
      <c r="AN424" s="5">
        <f t="shared" si="103"/>
        <v>0</v>
      </c>
      <c r="AO424" s="1" t="str">
        <f t="shared" si="118"/>
        <v/>
      </c>
    </row>
    <row r="425" spans="1:41">
      <c r="A425" t="s">
        <v>1524</v>
      </c>
      <c r="B425" t="s">
        <v>667</v>
      </c>
      <c r="C425" t="s">
        <v>1525</v>
      </c>
      <c r="D425">
        <v>400</v>
      </c>
      <c r="E425">
        <v>115</v>
      </c>
      <c r="F425">
        <v>0</v>
      </c>
      <c r="G425">
        <v>10</v>
      </c>
      <c r="H425">
        <v>1</v>
      </c>
      <c r="L425" t="s">
        <v>1526</v>
      </c>
      <c r="M425" t="s">
        <v>1527</v>
      </c>
      <c r="N425" t="s">
        <v>671</v>
      </c>
      <c r="O425">
        <v>0</v>
      </c>
      <c r="P425" t="s">
        <v>406</v>
      </c>
      <c r="Q425" t="s">
        <v>374</v>
      </c>
      <c r="R425">
        <v>3136</v>
      </c>
      <c r="S425" t="s">
        <v>1527</v>
      </c>
      <c r="U425" t="s">
        <v>83</v>
      </c>
      <c r="V425" t="s">
        <v>407</v>
      </c>
      <c r="W425">
        <v>12277694</v>
      </c>
      <c r="X425" t="s">
        <v>406</v>
      </c>
      <c r="Y425">
        <f t="shared" si="104"/>
        <v>0.46</v>
      </c>
      <c r="Z425">
        <f t="shared" si="105"/>
        <v>10.3</v>
      </c>
      <c r="AA425">
        <f t="shared" si="106"/>
        <v>4</v>
      </c>
      <c r="AB425" s="2">
        <f t="shared" si="107"/>
        <v>17</v>
      </c>
      <c r="AC425" s="2">
        <f t="shared" si="108"/>
        <v>11</v>
      </c>
      <c r="AD425" s="2">
        <f t="shared" si="109"/>
        <v>0</v>
      </c>
      <c r="AE425" s="2">
        <f t="shared" si="110"/>
        <v>0</v>
      </c>
      <c r="AF425" s="2">
        <f t="shared" si="111"/>
        <v>8</v>
      </c>
      <c r="AG425" s="2">
        <f t="shared" si="112"/>
        <v>0</v>
      </c>
      <c r="AH425" s="2">
        <f t="shared" si="113"/>
        <v>0</v>
      </c>
      <c r="AI425" s="1">
        <f t="shared" si="114"/>
        <v>370.8</v>
      </c>
      <c r="AJ425" s="1">
        <f t="shared" si="115"/>
        <v>240</v>
      </c>
      <c r="AK425" s="1" t="str">
        <f t="shared" si="116"/>
        <v/>
      </c>
      <c r="AL425" s="1" t="str">
        <f t="shared" si="117"/>
        <v/>
      </c>
      <c r="AM425" s="1">
        <f t="shared" si="102"/>
        <v>1300</v>
      </c>
      <c r="AN425" s="5">
        <f t="shared" si="103"/>
        <v>0</v>
      </c>
      <c r="AO425" s="1" t="str">
        <f t="shared" si="118"/>
        <v/>
      </c>
    </row>
    <row r="426" spans="1:41">
      <c r="A426" t="s">
        <v>1528</v>
      </c>
      <c r="B426" t="s">
        <v>667</v>
      </c>
      <c r="C426" t="s">
        <v>1529</v>
      </c>
      <c r="D426">
        <v>400</v>
      </c>
      <c r="E426">
        <v>79</v>
      </c>
      <c r="F426">
        <v>0</v>
      </c>
      <c r="G426">
        <v>5</v>
      </c>
      <c r="H426">
        <v>1</v>
      </c>
      <c r="L426" t="s">
        <v>1530</v>
      </c>
      <c r="M426" t="s">
        <v>1531</v>
      </c>
      <c r="N426" t="s">
        <v>671</v>
      </c>
      <c r="O426">
        <v>0</v>
      </c>
      <c r="P426" t="s">
        <v>406</v>
      </c>
      <c r="Q426" t="s">
        <v>374</v>
      </c>
      <c r="R426">
        <v>3136</v>
      </c>
      <c r="S426" t="s">
        <v>1531</v>
      </c>
      <c r="U426" t="s">
        <v>83</v>
      </c>
      <c r="V426" t="s">
        <v>407</v>
      </c>
      <c r="W426">
        <v>12277679</v>
      </c>
      <c r="X426" t="s">
        <v>406</v>
      </c>
      <c r="Y426">
        <f t="shared" si="104"/>
        <v>0.158</v>
      </c>
      <c r="Z426">
        <f t="shared" si="105"/>
        <v>4.79</v>
      </c>
      <c r="AA426">
        <f t="shared" si="106"/>
        <v>2</v>
      </c>
      <c r="AB426" s="2">
        <f t="shared" si="107"/>
        <v>17</v>
      </c>
      <c r="AC426" s="2">
        <f t="shared" si="108"/>
        <v>11</v>
      </c>
      <c r="AD426" s="2">
        <f t="shared" si="109"/>
        <v>0</v>
      </c>
      <c r="AE426" s="2">
        <f t="shared" si="110"/>
        <v>0</v>
      </c>
      <c r="AF426" s="2">
        <f t="shared" si="111"/>
        <v>8</v>
      </c>
      <c r="AG426" s="2">
        <f t="shared" si="112"/>
        <v>0</v>
      </c>
      <c r="AH426" s="2">
        <f t="shared" si="113"/>
        <v>0</v>
      </c>
      <c r="AI426" s="1">
        <f t="shared" si="114"/>
        <v>172.44</v>
      </c>
      <c r="AJ426" s="1">
        <f t="shared" si="115"/>
        <v>120</v>
      </c>
      <c r="AK426" s="1" t="str">
        <f t="shared" si="116"/>
        <v/>
      </c>
      <c r="AL426" s="1" t="str">
        <f t="shared" si="117"/>
        <v/>
      </c>
      <c r="AM426" s="1">
        <f t="shared" si="102"/>
        <v>650</v>
      </c>
      <c r="AN426" s="5">
        <f t="shared" si="103"/>
        <v>0</v>
      </c>
      <c r="AO426" s="1" t="str">
        <f t="shared" si="118"/>
        <v/>
      </c>
    </row>
    <row r="427" spans="1:41">
      <c r="A427" t="s">
        <v>1532</v>
      </c>
      <c r="B427" t="s">
        <v>667</v>
      </c>
      <c r="C427" t="s">
        <v>1533</v>
      </c>
      <c r="D427">
        <v>246</v>
      </c>
      <c r="E427">
        <v>80</v>
      </c>
      <c r="F427">
        <v>1</v>
      </c>
      <c r="G427">
        <v>2</v>
      </c>
      <c r="L427" t="s">
        <v>1534</v>
      </c>
      <c r="M427" t="s">
        <v>1535</v>
      </c>
      <c r="N427" t="s">
        <v>942</v>
      </c>
      <c r="O427">
        <v>0</v>
      </c>
      <c r="P427" t="s">
        <v>806</v>
      </c>
      <c r="Q427" t="s">
        <v>134</v>
      </c>
      <c r="R427">
        <v>10695</v>
      </c>
      <c r="S427" t="s">
        <v>1535</v>
      </c>
      <c r="U427" t="s">
        <v>105</v>
      </c>
      <c r="V427" t="s">
        <v>807</v>
      </c>
      <c r="W427">
        <v>12278804</v>
      </c>
      <c r="X427" t="s">
        <v>813</v>
      </c>
      <c r="Y427">
        <f t="shared" si="104"/>
        <v>3.9359999999999999E-2</v>
      </c>
      <c r="Z427">
        <f t="shared" si="105"/>
        <v>1.304</v>
      </c>
      <c r="AA427">
        <f t="shared" si="106"/>
        <v>0</v>
      </c>
      <c r="AB427" s="2">
        <f t="shared" si="107"/>
        <v>12</v>
      </c>
      <c r="AC427" s="2">
        <f t="shared" si="108"/>
        <v>0</v>
      </c>
      <c r="AD427" s="2">
        <f t="shared" si="109"/>
        <v>0</v>
      </c>
      <c r="AE427" s="2">
        <f t="shared" si="110"/>
        <v>0</v>
      </c>
      <c r="AF427" s="2">
        <f t="shared" si="111"/>
        <v>9</v>
      </c>
      <c r="AG427" s="2">
        <f t="shared" si="112"/>
        <v>0</v>
      </c>
      <c r="AH427" s="2">
        <f t="shared" si="113"/>
        <v>0</v>
      </c>
      <c r="AI427" s="1">
        <f t="shared" si="114"/>
        <v>46.944000000000003</v>
      </c>
      <c r="AJ427" s="1">
        <f t="shared" si="115"/>
        <v>0</v>
      </c>
      <c r="AK427" s="1" t="str">
        <f t="shared" si="116"/>
        <v/>
      </c>
      <c r="AL427" s="1" t="str">
        <f t="shared" si="117"/>
        <v/>
      </c>
      <c r="AM427" s="1">
        <f t="shared" si="102"/>
        <v>260</v>
      </c>
      <c r="AN427" s="5">
        <f t="shared" si="103"/>
        <v>0</v>
      </c>
      <c r="AO427" s="1" t="str">
        <f t="shared" si="118"/>
        <v/>
      </c>
    </row>
    <row r="428" spans="1:41">
      <c r="A428" t="s">
        <v>1536</v>
      </c>
      <c r="B428" t="s">
        <v>667</v>
      </c>
      <c r="C428" t="s">
        <v>1537</v>
      </c>
      <c r="D428">
        <v>390</v>
      </c>
      <c r="E428">
        <v>115</v>
      </c>
      <c r="F428">
        <v>1</v>
      </c>
      <c r="G428">
        <v>6</v>
      </c>
      <c r="H428">
        <v>1</v>
      </c>
      <c r="L428" t="s">
        <v>1538</v>
      </c>
      <c r="M428" t="s">
        <v>1539</v>
      </c>
      <c r="N428" t="s">
        <v>942</v>
      </c>
      <c r="O428">
        <v>0</v>
      </c>
      <c r="P428" t="s">
        <v>373</v>
      </c>
      <c r="Q428" t="s">
        <v>374</v>
      </c>
      <c r="R428">
        <v>3136</v>
      </c>
      <c r="S428" t="s">
        <v>1539</v>
      </c>
      <c r="U428" t="s">
        <v>83</v>
      </c>
      <c r="V428" t="s">
        <v>375</v>
      </c>
      <c r="W428">
        <v>12276624</v>
      </c>
      <c r="X428" t="s">
        <v>376</v>
      </c>
      <c r="Y428">
        <f t="shared" si="104"/>
        <v>0.26910000000000001</v>
      </c>
      <c r="Z428">
        <f t="shared" si="105"/>
        <v>6.0600000000000005</v>
      </c>
      <c r="AA428">
        <f t="shared" si="106"/>
        <v>2.34</v>
      </c>
      <c r="AB428" s="2">
        <f t="shared" si="107"/>
        <v>66</v>
      </c>
      <c r="AC428" s="2">
        <f t="shared" si="108"/>
        <v>59</v>
      </c>
      <c r="AD428" s="2">
        <f t="shared" si="109"/>
        <v>0</v>
      </c>
      <c r="AE428" s="2">
        <f t="shared" si="110"/>
        <v>0</v>
      </c>
      <c r="AF428" s="2">
        <f t="shared" si="111"/>
        <v>39</v>
      </c>
      <c r="AG428" s="2">
        <f t="shared" si="112"/>
        <v>0</v>
      </c>
      <c r="AH428" s="2">
        <f t="shared" si="113"/>
        <v>0</v>
      </c>
      <c r="AI428" s="1">
        <f t="shared" si="114"/>
        <v>218.16000000000003</v>
      </c>
      <c r="AJ428" s="1">
        <f t="shared" si="115"/>
        <v>140.39999999999998</v>
      </c>
      <c r="AK428" s="1" t="str">
        <f t="shared" si="116"/>
        <v/>
      </c>
      <c r="AL428" s="1" t="str">
        <f t="shared" si="117"/>
        <v/>
      </c>
      <c r="AM428" s="1">
        <f t="shared" si="102"/>
        <v>780</v>
      </c>
      <c r="AN428" s="5">
        <f t="shared" si="103"/>
        <v>0</v>
      </c>
      <c r="AO428" s="1" t="str">
        <f t="shared" si="118"/>
        <v/>
      </c>
    </row>
    <row r="429" spans="1:41">
      <c r="A429" t="s">
        <v>1540</v>
      </c>
      <c r="B429" t="s">
        <v>667</v>
      </c>
      <c r="C429" t="s">
        <v>1541</v>
      </c>
      <c r="D429">
        <v>390</v>
      </c>
      <c r="E429">
        <v>115</v>
      </c>
      <c r="F429">
        <v>1</v>
      </c>
      <c r="G429">
        <v>6</v>
      </c>
      <c r="H429">
        <v>1</v>
      </c>
      <c r="L429" t="s">
        <v>1538</v>
      </c>
      <c r="M429" t="s">
        <v>1539</v>
      </c>
      <c r="N429" t="s">
        <v>942</v>
      </c>
      <c r="O429">
        <v>0</v>
      </c>
      <c r="P429" t="s">
        <v>373</v>
      </c>
      <c r="Q429" t="s">
        <v>374</v>
      </c>
      <c r="R429">
        <v>3136</v>
      </c>
      <c r="S429" t="s">
        <v>1539</v>
      </c>
      <c r="U429" t="s">
        <v>83</v>
      </c>
      <c r="V429" t="s">
        <v>375</v>
      </c>
      <c r="W429">
        <v>12276624</v>
      </c>
      <c r="X429" t="s">
        <v>376</v>
      </c>
      <c r="Y429">
        <f t="shared" si="104"/>
        <v>0.26910000000000001</v>
      </c>
      <c r="Z429">
        <f t="shared" si="105"/>
        <v>6.0600000000000005</v>
      </c>
      <c r="AA429">
        <f t="shared" si="106"/>
        <v>2.34</v>
      </c>
      <c r="AB429" s="2">
        <f t="shared" si="107"/>
        <v>65</v>
      </c>
      <c r="AC429" s="2">
        <f t="shared" si="108"/>
        <v>58</v>
      </c>
      <c r="AD429" s="2">
        <f t="shared" si="109"/>
        <v>0</v>
      </c>
      <c r="AE429" s="2">
        <f t="shared" si="110"/>
        <v>0</v>
      </c>
      <c r="AF429" s="2">
        <f t="shared" si="111"/>
        <v>39</v>
      </c>
      <c r="AG429" s="2">
        <f t="shared" si="112"/>
        <v>0</v>
      </c>
      <c r="AH429" s="2">
        <f t="shared" si="113"/>
        <v>0</v>
      </c>
      <c r="AI429" s="1">
        <f t="shared" si="114"/>
        <v>218.16000000000003</v>
      </c>
      <c r="AJ429" s="1">
        <f t="shared" si="115"/>
        <v>140.39999999999998</v>
      </c>
      <c r="AK429" s="1" t="str">
        <f t="shared" si="116"/>
        <v/>
      </c>
      <c r="AL429" s="1" t="str">
        <f t="shared" si="117"/>
        <v/>
      </c>
      <c r="AM429" s="1">
        <f t="shared" si="102"/>
        <v>780</v>
      </c>
      <c r="AN429" s="5">
        <f t="shared" si="103"/>
        <v>0</v>
      </c>
      <c r="AO429" s="1" t="str">
        <f t="shared" si="118"/>
        <v/>
      </c>
    </row>
    <row r="430" spans="1:41">
      <c r="A430" t="s">
        <v>1536</v>
      </c>
      <c r="B430" t="s">
        <v>667</v>
      </c>
      <c r="C430" t="s">
        <v>1542</v>
      </c>
      <c r="D430">
        <v>390</v>
      </c>
      <c r="E430">
        <v>115</v>
      </c>
      <c r="F430">
        <v>1</v>
      </c>
      <c r="G430">
        <v>6</v>
      </c>
      <c r="H430">
        <v>1</v>
      </c>
      <c r="L430" t="s">
        <v>1538</v>
      </c>
      <c r="M430" t="s">
        <v>1539</v>
      </c>
      <c r="N430" t="s">
        <v>942</v>
      </c>
      <c r="O430">
        <v>0</v>
      </c>
      <c r="P430" t="s">
        <v>378</v>
      </c>
      <c r="Q430" t="s">
        <v>374</v>
      </c>
      <c r="R430">
        <v>3136</v>
      </c>
      <c r="S430" t="s">
        <v>1539</v>
      </c>
      <c r="U430" t="s">
        <v>83</v>
      </c>
      <c r="V430" t="s">
        <v>375</v>
      </c>
      <c r="W430">
        <v>12276979</v>
      </c>
      <c r="X430" t="s">
        <v>379</v>
      </c>
      <c r="Y430">
        <f t="shared" si="104"/>
        <v>0.26910000000000001</v>
      </c>
      <c r="Z430">
        <f t="shared" si="105"/>
        <v>6.0600000000000005</v>
      </c>
      <c r="AA430">
        <f t="shared" si="106"/>
        <v>2.34</v>
      </c>
      <c r="AB430" s="2">
        <f t="shared" si="107"/>
        <v>69</v>
      </c>
      <c r="AC430" s="2">
        <f t="shared" si="108"/>
        <v>62</v>
      </c>
      <c r="AD430" s="2">
        <f t="shared" si="109"/>
        <v>0</v>
      </c>
      <c r="AE430" s="2">
        <f t="shared" si="110"/>
        <v>0</v>
      </c>
      <c r="AF430" s="2">
        <f t="shared" si="111"/>
        <v>42</v>
      </c>
      <c r="AG430" s="2">
        <f t="shared" si="112"/>
        <v>0</v>
      </c>
      <c r="AH430" s="2">
        <f t="shared" si="113"/>
        <v>0</v>
      </c>
      <c r="AI430" s="1">
        <f t="shared" si="114"/>
        <v>218.16000000000003</v>
      </c>
      <c r="AJ430" s="1">
        <f t="shared" si="115"/>
        <v>140.39999999999998</v>
      </c>
      <c r="AK430" s="1" t="str">
        <f t="shared" si="116"/>
        <v/>
      </c>
      <c r="AL430" s="1" t="str">
        <f t="shared" si="117"/>
        <v/>
      </c>
      <c r="AM430" s="1">
        <f t="shared" si="102"/>
        <v>780</v>
      </c>
      <c r="AN430" s="5">
        <f t="shared" si="103"/>
        <v>0</v>
      </c>
      <c r="AO430" s="1" t="str">
        <f t="shared" si="118"/>
        <v/>
      </c>
    </row>
    <row r="431" spans="1:41">
      <c r="A431" t="s">
        <v>1540</v>
      </c>
      <c r="B431" t="s">
        <v>667</v>
      </c>
      <c r="C431" t="s">
        <v>1543</v>
      </c>
      <c r="D431">
        <v>390</v>
      </c>
      <c r="E431">
        <v>115</v>
      </c>
      <c r="F431">
        <v>1</v>
      </c>
      <c r="G431">
        <v>6</v>
      </c>
      <c r="H431">
        <v>1</v>
      </c>
      <c r="L431" t="s">
        <v>1538</v>
      </c>
      <c r="M431" t="s">
        <v>1539</v>
      </c>
      <c r="N431" t="s">
        <v>942</v>
      </c>
      <c r="O431">
        <v>0</v>
      </c>
      <c r="P431" t="s">
        <v>378</v>
      </c>
      <c r="Q431" t="s">
        <v>374</v>
      </c>
      <c r="R431">
        <v>3136</v>
      </c>
      <c r="S431" t="s">
        <v>1539</v>
      </c>
      <c r="U431" t="s">
        <v>83</v>
      </c>
      <c r="V431" t="s">
        <v>375</v>
      </c>
      <c r="W431">
        <v>12276979</v>
      </c>
      <c r="X431" t="s">
        <v>379</v>
      </c>
      <c r="Y431">
        <f t="shared" si="104"/>
        <v>0.26910000000000001</v>
      </c>
      <c r="Z431">
        <f t="shared" si="105"/>
        <v>6.0600000000000005</v>
      </c>
      <c r="AA431">
        <f t="shared" si="106"/>
        <v>2.34</v>
      </c>
      <c r="AB431" s="2">
        <f t="shared" si="107"/>
        <v>68</v>
      </c>
      <c r="AC431" s="2">
        <f t="shared" si="108"/>
        <v>61</v>
      </c>
      <c r="AD431" s="2">
        <f t="shared" si="109"/>
        <v>0</v>
      </c>
      <c r="AE431" s="2">
        <f t="shared" si="110"/>
        <v>0</v>
      </c>
      <c r="AF431" s="2">
        <f t="shared" si="111"/>
        <v>42</v>
      </c>
      <c r="AG431" s="2">
        <f t="shared" si="112"/>
        <v>0</v>
      </c>
      <c r="AH431" s="2">
        <f t="shared" si="113"/>
        <v>0</v>
      </c>
      <c r="AI431" s="1">
        <f t="shared" si="114"/>
        <v>218.16000000000003</v>
      </c>
      <c r="AJ431" s="1">
        <f t="shared" si="115"/>
        <v>140.39999999999998</v>
      </c>
      <c r="AK431" s="1" t="str">
        <f t="shared" si="116"/>
        <v/>
      </c>
      <c r="AL431" s="1" t="str">
        <f t="shared" si="117"/>
        <v/>
      </c>
      <c r="AM431" s="1">
        <f t="shared" si="102"/>
        <v>780</v>
      </c>
      <c r="AN431" s="5">
        <f t="shared" si="103"/>
        <v>0</v>
      </c>
      <c r="AO431" s="1" t="str">
        <f t="shared" si="118"/>
        <v/>
      </c>
    </row>
    <row r="432" spans="1:41">
      <c r="A432" t="s">
        <v>1536</v>
      </c>
      <c r="B432" t="s">
        <v>667</v>
      </c>
      <c r="C432" t="s">
        <v>1544</v>
      </c>
      <c r="D432">
        <v>390</v>
      </c>
      <c r="E432">
        <v>115</v>
      </c>
      <c r="F432">
        <v>1</v>
      </c>
      <c r="G432">
        <v>2</v>
      </c>
      <c r="H432">
        <v>1</v>
      </c>
      <c r="L432" t="s">
        <v>1538</v>
      </c>
      <c r="M432" t="s">
        <v>1539</v>
      </c>
      <c r="N432" t="s">
        <v>942</v>
      </c>
      <c r="O432">
        <v>0</v>
      </c>
      <c r="P432" t="s">
        <v>381</v>
      </c>
      <c r="Q432" t="s">
        <v>374</v>
      </c>
      <c r="R432">
        <v>3136</v>
      </c>
      <c r="S432" t="s">
        <v>1539</v>
      </c>
      <c r="U432" t="s">
        <v>83</v>
      </c>
      <c r="V432" t="s">
        <v>375</v>
      </c>
      <c r="W432">
        <v>12277257</v>
      </c>
      <c r="X432" t="s">
        <v>376</v>
      </c>
      <c r="Y432">
        <f t="shared" si="104"/>
        <v>8.9700000000000002E-2</v>
      </c>
      <c r="Z432">
        <f t="shared" si="105"/>
        <v>2.02</v>
      </c>
      <c r="AA432">
        <f t="shared" si="106"/>
        <v>0.78</v>
      </c>
      <c r="AB432" s="2">
        <f t="shared" si="107"/>
        <v>66</v>
      </c>
      <c r="AC432" s="2">
        <f t="shared" si="108"/>
        <v>59</v>
      </c>
      <c r="AD432" s="2">
        <f t="shared" si="109"/>
        <v>0</v>
      </c>
      <c r="AE432" s="2">
        <f t="shared" si="110"/>
        <v>0</v>
      </c>
      <c r="AF432" s="2">
        <f t="shared" si="111"/>
        <v>39</v>
      </c>
      <c r="AG432" s="2">
        <f t="shared" si="112"/>
        <v>0</v>
      </c>
      <c r="AH432" s="2">
        <f t="shared" si="113"/>
        <v>0</v>
      </c>
      <c r="AI432" s="1">
        <f t="shared" si="114"/>
        <v>72.72</v>
      </c>
      <c r="AJ432" s="1">
        <f t="shared" si="115"/>
        <v>46.800000000000004</v>
      </c>
      <c r="AK432" s="1" t="str">
        <f t="shared" si="116"/>
        <v/>
      </c>
      <c r="AL432" s="1" t="str">
        <f t="shared" si="117"/>
        <v/>
      </c>
      <c r="AM432" s="1">
        <f t="shared" si="102"/>
        <v>260</v>
      </c>
      <c r="AN432" s="5">
        <f t="shared" si="103"/>
        <v>0</v>
      </c>
      <c r="AO432" s="1" t="str">
        <f t="shared" si="118"/>
        <v/>
      </c>
    </row>
    <row r="433" spans="1:41">
      <c r="A433" t="s">
        <v>1540</v>
      </c>
      <c r="B433" t="s">
        <v>667</v>
      </c>
      <c r="C433" t="s">
        <v>1545</v>
      </c>
      <c r="D433">
        <v>390</v>
      </c>
      <c r="E433">
        <v>115</v>
      </c>
      <c r="F433">
        <v>1</v>
      </c>
      <c r="G433">
        <v>2</v>
      </c>
      <c r="H433">
        <v>1</v>
      </c>
      <c r="L433" t="s">
        <v>1538</v>
      </c>
      <c r="M433" t="s">
        <v>1539</v>
      </c>
      <c r="N433" t="s">
        <v>942</v>
      </c>
      <c r="O433">
        <v>0</v>
      </c>
      <c r="P433" t="s">
        <v>381</v>
      </c>
      <c r="Q433" t="s">
        <v>374</v>
      </c>
      <c r="R433">
        <v>3136</v>
      </c>
      <c r="S433" t="s">
        <v>1539</v>
      </c>
      <c r="U433" t="s">
        <v>83</v>
      </c>
      <c r="V433" t="s">
        <v>375</v>
      </c>
      <c r="W433">
        <v>12277257</v>
      </c>
      <c r="X433" t="s">
        <v>376</v>
      </c>
      <c r="Y433">
        <f t="shared" si="104"/>
        <v>8.9700000000000002E-2</v>
      </c>
      <c r="Z433">
        <f t="shared" si="105"/>
        <v>2.02</v>
      </c>
      <c r="AA433">
        <f t="shared" si="106"/>
        <v>0.78</v>
      </c>
      <c r="AB433" s="2">
        <f t="shared" si="107"/>
        <v>65</v>
      </c>
      <c r="AC433" s="2">
        <f t="shared" si="108"/>
        <v>58</v>
      </c>
      <c r="AD433" s="2">
        <f t="shared" si="109"/>
        <v>0</v>
      </c>
      <c r="AE433" s="2">
        <f t="shared" si="110"/>
        <v>0</v>
      </c>
      <c r="AF433" s="2">
        <f t="shared" si="111"/>
        <v>39</v>
      </c>
      <c r="AG433" s="2">
        <f t="shared" si="112"/>
        <v>0</v>
      </c>
      <c r="AH433" s="2">
        <f t="shared" si="113"/>
        <v>0</v>
      </c>
      <c r="AI433" s="1">
        <f t="shared" si="114"/>
        <v>72.72</v>
      </c>
      <c r="AJ433" s="1">
        <f t="shared" si="115"/>
        <v>46.800000000000004</v>
      </c>
      <c r="AK433" s="1" t="str">
        <f t="shared" si="116"/>
        <v/>
      </c>
      <c r="AL433" s="1" t="str">
        <f t="shared" si="117"/>
        <v/>
      </c>
      <c r="AM433" s="1">
        <f t="shared" si="102"/>
        <v>260</v>
      </c>
      <c r="AN433" s="5">
        <f t="shared" si="103"/>
        <v>0</v>
      </c>
      <c r="AO433" s="1" t="str">
        <f t="shared" si="118"/>
        <v/>
      </c>
    </row>
    <row r="434" spans="1:41">
      <c r="A434" t="s">
        <v>1546</v>
      </c>
      <c r="B434" t="s">
        <v>667</v>
      </c>
      <c r="C434" t="s">
        <v>1547</v>
      </c>
      <c r="D434">
        <v>390</v>
      </c>
      <c r="E434">
        <v>79</v>
      </c>
      <c r="F434">
        <v>1</v>
      </c>
      <c r="G434">
        <v>3</v>
      </c>
      <c r="H434">
        <v>1</v>
      </c>
      <c r="L434" t="s">
        <v>1548</v>
      </c>
      <c r="M434" t="s">
        <v>1549</v>
      </c>
      <c r="N434" t="s">
        <v>942</v>
      </c>
      <c r="O434">
        <v>0</v>
      </c>
      <c r="P434" t="s">
        <v>373</v>
      </c>
      <c r="Q434" t="s">
        <v>374</v>
      </c>
      <c r="R434">
        <v>3136</v>
      </c>
      <c r="S434" t="s">
        <v>1549</v>
      </c>
      <c r="U434" t="s">
        <v>83</v>
      </c>
      <c r="V434" t="s">
        <v>375</v>
      </c>
      <c r="W434">
        <v>12276672</v>
      </c>
      <c r="X434" t="s">
        <v>376</v>
      </c>
      <c r="Y434">
        <f t="shared" si="104"/>
        <v>9.2429999999999998E-2</v>
      </c>
      <c r="Z434">
        <f t="shared" si="105"/>
        <v>2.8140000000000001</v>
      </c>
      <c r="AA434">
        <f t="shared" si="106"/>
        <v>1.17</v>
      </c>
      <c r="AB434" s="2">
        <f t="shared" si="107"/>
        <v>53</v>
      </c>
      <c r="AC434" s="2">
        <f t="shared" si="108"/>
        <v>46</v>
      </c>
      <c r="AD434" s="2">
        <f t="shared" si="109"/>
        <v>0</v>
      </c>
      <c r="AE434" s="2">
        <f t="shared" si="110"/>
        <v>0</v>
      </c>
      <c r="AF434" s="2">
        <f t="shared" si="111"/>
        <v>39</v>
      </c>
      <c r="AG434" s="2">
        <f t="shared" si="112"/>
        <v>0</v>
      </c>
      <c r="AH434" s="2">
        <f t="shared" si="113"/>
        <v>0</v>
      </c>
      <c r="AI434" s="1">
        <f t="shared" si="114"/>
        <v>101.304</v>
      </c>
      <c r="AJ434" s="1">
        <f t="shared" si="115"/>
        <v>70.199999999999989</v>
      </c>
      <c r="AK434" s="1" t="str">
        <f t="shared" si="116"/>
        <v/>
      </c>
      <c r="AL434" s="1" t="str">
        <f t="shared" si="117"/>
        <v/>
      </c>
      <c r="AM434" s="1">
        <f t="shared" si="102"/>
        <v>390</v>
      </c>
      <c r="AN434" s="5">
        <f t="shared" si="103"/>
        <v>0</v>
      </c>
      <c r="AO434" s="1" t="str">
        <f t="shared" si="118"/>
        <v/>
      </c>
    </row>
    <row r="435" spans="1:41">
      <c r="A435" t="s">
        <v>1550</v>
      </c>
      <c r="B435" t="s">
        <v>667</v>
      </c>
      <c r="C435" t="s">
        <v>1551</v>
      </c>
      <c r="D435">
        <v>390</v>
      </c>
      <c r="E435">
        <v>79</v>
      </c>
      <c r="F435">
        <v>1</v>
      </c>
      <c r="G435">
        <v>3</v>
      </c>
      <c r="H435">
        <v>1</v>
      </c>
      <c r="L435" t="s">
        <v>1548</v>
      </c>
      <c r="M435" t="s">
        <v>1549</v>
      </c>
      <c r="N435" t="s">
        <v>942</v>
      </c>
      <c r="O435">
        <v>0</v>
      </c>
      <c r="P435" t="s">
        <v>373</v>
      </c>
      <c r="Q435" t="s">
        <v>374</v>
      </c>
      <c r="R435">
        <v>3136</v>
      </c>
      <c r="S435" t="s">
        <v>1549</v>
      </c>
      <c r="U435" t="s">
        <v>83</v>
      </c>
      <c r="V435" t="s">
        <v>375</v>
      </c>
      <c r="W435">
        <v>12276672</v>
      </c>
      <c r="X435" t="s">
        <v>376</v>
      </c>
      <c r="Y435">
        <f t="shared" si="104"/>
        <v>9.2429999999999998E-2</v>
      </c>
      <c r="Z435">
        <f t="shared" si="105"/>
        <v>2.8140000000000001</v>
      </c>
      <c r="AA435">
        <f t="shared" si="106"/>
        <v>1.17</v>
      </c>
      <c r="AB435" s="2">
        <f t="shared" si="107"/>
        <v>56</v>
      </c>
      <c r="AC435" s="2">
        <f t="shared" si="108"/>
        <v>49</v>
      </c>
      <c r="AD435" s="2">
        <f t="shared" si="109"/>
        <v>0</v>
      </c>
      <c r="AE435" s="2">
        <f t="shared" si="110"/>
        <v>0</v>
      </c>
      <c r="AF435" s="2">
        <f t="shared" si="111"/>
        <v>39</v>
      </c>
      <c r="AG435" s="2">
        <f t="shared" si="112"/>
        <v>0</v>
      </c>
      <c r="AH435" s="2">
        <f t="shared" si="113"/>
        <v>0</v>
      </c>
      <c r="AI435" s="1">
        <f t="shared" si="114"/>
        <v>101.304</v>
      </c>
      <c r="AJ435" s="1">
        <f t="shared" si="115"/>
        <v>70.199999999999989</v>
      </c>
      <c r="AK435" s="1" t="str">
        <f t="shared" si="116"/>
        <v/>
      </c>
      <c r="AL435" s="1" t="str">
        <f t="shared" si="117"/>
        <v/>
      </c>
      <c r="AM435" s="1">
        <f t="shared" si="102"/>
        <v>390</v>
      </c>
      <c r="AN435" s="5">
        <f t="shared" si="103"/>
        <v>0</v>
      </c>
      <c r="AO435" s="1" t="str">
        <f t="shared" si="118"/>
        <v/>
      </c>
    </row>
    <row r="436" spans="1:41">
      <c r="A436" t="s">
        <v>1546</v>
      </c>
      <c r="B436" t="s">
        <v>667</v>
      </c>
      <c r="C436" t="s">
        <v>1552</v>
      </c>
      <c r="D436">
        <v>390</v>
      </c>
      <c r="E436">
        <v>79</v>
      </c>
      <c r="F436">
        <v>1</v>
      </c>
      <c r="G436">
        <v>3</v>
      </c>
      <c r="H436">
        <v>1</v>
      </c>
      <c r="L436" t="s">
        <v>1548</v>
      </c>
      <c r="M436" t="s">
        <v>1549</v>
      </c>
      <c r="N436" t="s">
        <v>942</v>
      </c>
      <c r="O436">
        <v>0</v>
      </c>
      <c r="P436" t="s">
        <v>378</v>
      </c>
      <c r="Q436" t="s">
        <v>374</v>
      </c>
      <c r="R436">
        <v>3136</v>
      </c>
      <c r="S436" t="s">
        <v>1549</v>
      </c>
      <c r="U436" t="s">
        <v>83</v>
      </c>
      <c r="V436" t="s">
        <v>375</v>
      </c>
      <c r="W436">
        <v>12276986</v>
      </c>
      <c r="X436" t="s">
        <v>379</v>
      </c>
      <c r="Y436">
        <f t="shared" si="104"/>
        <v>9.2429999999999998E-2</v>
      </c>
      <c r="Z436">
        <f t="shared" si="105"/>
        <v>2.8140000000000001</v>
      </c>
      <c r="AA436">
        <f t="shared" si="106"/>
        <v>1.17</v>
      </c>
      <c r="AB436" s="2">
        <f t="shared" si="107"/>
        <v>56</v>
      </c>
      <c r="AC436" s="2">
        <f t="shared" si="108"/>
        <v>49</v>
      </c>
      <c r="AD436" s="2">
        <f t="shared" si="109"/>
        <v>0</v>
      </c>
      <c r="AE436" s="2">
        <f t="shared" si="110"/>
        <v>0</v>
      </c>
      <c r="AF436" s="2">
        <f t="shared" si="111"/>
        <v>42</v>
      </c>
      <c r="AG436" s="2">
        <f t="shared" si="112"/>
        <v>0</v>
      </c>
      <c r="AH436" s="2">
        <f t="shared" si="113"/>
        <v>0</v>
      </c>
      <c r="AI436" s="1">
        <f t="shared" si="114"/>
        <v>101.304</v>
      </c>
      <c r="AJ436" s="1">
        <f t="shared" si="115"/>
        <v>70.199999999999989</v>
      </c>
      <c r="AK436" s="1" t="str">
        <f t="shared" si="116"/>
        <v/>
      </c>
      <c r="AL436" s="1" t="str">
        <f t="shared" si="117"/>
        <v/>
      </c>
      <c r="AM436" s="1">
        <f t="shared" si="102"/>
        <v>390</v>
      </c>
      <c r="AN436" s="5">
        <f t="shared" si="103"/>
        <v>0</v>
      </c>
      <c r="AO436" s="1" t="str">
        <f t="shared" si="118"/>
        <v/>
      </c>
    </row>
    <row r="437" spans="1:41">
      <c r="A437" t="s">
        <v>1550</v>
      </c>
      <c r="B437" t="s">
        <v>667</v>
      </c>
      <c r="C437" t="s">
        <v>1553</v>
      </c>
      <c r="D437">
        <v>390</v>
      </c>
      <c r="E437">
        <v>79</v>
      </c>
      <c r="F437">
        <v>1</v>
      </c>
      <c r="G437">
        <v>3</v>
      </c>
      <c r="H437">
        <v>1</v>
      </c>
      <c r="L437" t="s">
        <v>1548</v>
      </c>
      <c r="M437" t="s">
        <v>1549</v>
      </c>
      <c r="N437" t="s">
        <v>942</v>
      </c>
      <c r="O437">
        <v>0</v>
      </c>
      <c r="P437" t="s">
        <v>378</v>
      </c>
      <c r="Q437" t="s">
        <v>374</v>
      </c>
      <c r="R437">
        <v>3136</v>
      </c>
      <c r="S437" t="s">
        <v>1549</v>
      </c>
      <c r="U437" t="s">
        <v>83</v>
      </c>
      <c r="V437" t="s">
        <v>375</v>
      </c>
      <c r="W437">
        <v>12276986</v>
      </c>
      <c r="X437" t="s">
        <v>379</v>
      </c>
      <c r="Y437">
        <f t="shared" si="104"/>
        <v>9.2429999999999998E-2</v>
      </c>
      <c r="Z437">
        <f t="shared" si="105"/>
        <v>2.8140000000000001</v>
      </c>
      <c r="AA437">
        <f t="shared" si="106"/>
        <v>1.17</v>
      </c>
      <c r="AB437" s="2">
        <f t="shared" si="107"/>
        <v>59</v>
      </c>
      <c r="AC437" s="2">
        <f t="shared" si="108"/>
        <v>52</v>
      </c>
      <c r="AD437" s="2">
        <f t="shared" si="109"/>
        <v>0</v>
      </c>
      <c r="AE437" s="2">
        <f t="shared" si="110"/>
        <v>0</v>
      </c>
      <c r="AF437" s="2">
        <f t="shared" si="111"/>
        <v>42</v>
      </c>
      <c r="AG437" s="2">
        <f t="shared" si="112"/>
        <v>0</v>
      </c>
      <c r="AH437" s="2">
        <f t="shared" si="113"/>
        <v>0</v>
      </c>
      <c r="AI437" s="1">
        <f t="shared" si="114"/>
        <v>101.304</v>
      </c>
      <c r="AJ437" s="1">
        <f t="shared" si="115"/>
        <v>70.199999999999989</v>
      </c>
      <c r="AK437" s="1" t="str">
        <f t="shared" si="116"/>
        <v/>
      </c>
      <c r="AL437" s="1" t="str">
        <f t="shared" si="117"/>
        <v/>
      </c>
      <c r="AM437" s="1">
        <f t="shared" si="102"/>
        <v>390</v>
      </c>
      <c r="AN437" s="5">
        <f t="shared" si="103"/>
        <v>0</v>
      </c>
      <c r="AO437" s="1" t="str">
        <f t="shared" si="118"/>
        <v/>
      </c>
    </row>
    <row r="438" spans="1:41">
      <c r="A438" t="s">
        <v>1546</v>
      </c>
      <c r="B438" t="s">
        <v>667</v>
      </c>
      <c r="C438" t="s">
        <v>1554</v>
      </c>
      <c r="D438">
        <v>390</v>
      </c>
      <c r="E438">
        <v>79</v>
      </c>
      <c r="F438">
        <v>1</v>
      </c>
      <c r="G438">
        <v>1</v>
      </c>
      <c r="H438">
        <v>1</v>
      </c>
      <c r="L438" t="s">
        <v>1548</v>
      </c>
      <c r="M438" t="s">
        <v>1549</v>
      </c>
      <c r="N438" t="s">
        <v>942</v>
      </c>
      <c r="O438">
        <v>0</v>
      </c>
      <c r="P438" t="s">
        <v>381</v>
      </c>
      <c r="Q438" t="s">
        <v>374</v>
      </c>
      <c r="R438">
        <v>3136</v>
      </c>
      <c r="S438" t="s">
        <v>1549</v>
      </c>
      <c r="U438" t="s">
        <v>83</v>
      </c>
      <c r="V438" t="s">
        <v>375</v>
      </c>
      <c r="W438">
        <v>12277305</v>
      </c>
      <c r="X438" t="s">
        <v>376</v>
      </c>
      <c r="Y438">
        <f t="shared" si="104"/>
        <v>3.0810000000000001E-2</v>
      </c>
      <c r="Z438">
        <f t="shared" si="105"/>
        <v>0.93799999999999994</v>
      </c>
      <c r="AA438">
        <f t="shared" si="106"/>
        <v>0.39</v>
      </c>
      <c r="AB438" s="2">
        <f t="shared" si="107"/>
        <v>53</v>
      </c>
      <c r="AC438" s="2">
        <f t="shared" si="108"/>
        <v>46</v>
      </c>
      <c r="AD438" s="2">
        <f t="shared" si="109"/>
        <v>0</v>
      </c>
      <c r="AE438" s="2">
        <f t="shared" si="110"/>
        <v>0</v>
      </c>
      <c r="AF438" s="2">
        <f t="shared" si="111"/>
        <v>39</v>
      </c>
      <c r="AG438" s="2">
        <f t="shared" si="112"/>
        <v>0</v>
      </c>
      <c r="AH438" s="2">
        <f t="shared" si="113"/>
        <v>0</v>
      </c>
      <c r="AI438" s="1">
        <f t="shared" si="114"/>
        <v>33.768000000000001</v>
      </c>
      <c r="AJ438" s="1">
        <f t="shared" si="115"/>
        <v>23.400000000000002</v>
      </c>
      <c r="AK438" s="1" t="str">
        <f t="shared" si="116"/>
        <v/>
      </c>
      <c r="AL438" s="1" t="str">
        <f t="shared" si="117"/>
        <v/>
      </c>
      <c r="AM438" s="1">
        <f t="shared" si="102"/>
        <v>130</v>
      </c>
      <c r="AN438" s="5">
        <f t="shared" si="103"/>
        <v>0</v>
      </c>
      <c r="AO438" s="1" t="str">
        <f t="shared" si="118"/>
        <v/>
      </c>
    </row>
    <row r="439" spans="1:41">
      <c r="A439" t="s">
        <v>1550</v>
      </c>
      <c r="B439" t="s">
        <v>667</v>
      </c>
      <c r="C439" t="s">
        <v>1555</v>
      </c>
      <c r="D439">
        <v>390</v>
      </c>
      <c r="E439">
        <v>79</v>
      </c>
      <c r="F439">
        <v>1</v>
      </c>
      <c r="G439">
        <v>1</v>
      </c>
      <c r="H439">
        <v>1</v>
      </c>
      <c r="L439" t="s">
        <v>1548</v>
      </c>
      <c r="M439" t="s">
        <v>1549</v>
      </c>
      <c r="N439" t="s">
        <v>942</v>
      </c>
      <c r="O439">
        <v>0</v>
      </c>
      <c r="P439" t="s">
        <v>381</v>
      </c>
      <c r="Q439" t="s">
        <v>374</v>
      </c>
      <c r="R439">
        <v>3136</v>
      </c>
      <c r="S439" t="s">
        <v>1549</v>
      </c>
      <c r="U439" t="s">
        <v>83</v>
      </c>
      <c r="V439" t="s">
        <v>375</v>
      </c>
      <c r="W439">
        <v>12277305</v>
      </c>
      <c r="X439" t="s">
        <v>376</v>
      </c>
      <c r="Y439">
        <f t="shared" si="104"/>
        <v>3.0810000000000001E-2</v>
      </c>
      <c r="Z439">
        <f t="shared" si="105"/>
        <v>0.93799999999999994</v>
      </c>
      <c r="AA439">
        <f t="shared" si="106"/>
        <v>0.39</v>
      </c>
      <c r="AB439" s="2">
        <f t="shared" si="107"/>
        <v>56</v>
      </c>
      <c r="AC439" s="2">
        <f t="shared" si="108"/>
        <v>49</v>
      </c>
      <c r="AD439" s="2">
        <f t="shared" si="109"/>
        <v>0</v>
      </c>
      <c r="AE439" s="2">
        <f t="shared" si="110"/>
        <v>0</v>
      </c>
      <c r="AF439" s="2">
        <f t="shared" si="111"/>
        <v>39</v>
      </c>
      <c r="AG439" s="2">
        <f t="shared" si="112"/>
        <v>0</v>
      </c>
      <c r="AH439" s="2">
        <f t="shared" si="113"/>
        <v>0</v>
      </c>
      <c r="AI439" s="1">
        <f t="shared" si="114"/>
        <v>33.768000000000001</v>
      </c>
      <c r="AJ439" s="1">
        <f t="shared" si="115"/>
        <v>23.400000000000002</v>
      </c>
      <c r="AK439" s="1" t="str">
        <f t="shared" si="116"/>
        <v/>
      </c>
      <c r="AL439" s="1" t="str">
        <f t="shared" si="117"/>
        <v/>
      </c>
      <c r="AM439" s="1">
        <f t="shared" si="102"/>
        <v>130</v>
      </c>
      <c r="AN439" s="5">
        <f t="shared" si="103"/>
        <v>0</v>
      </c>
      <c r="AO439" s="1" t="str">
        <f t="shared" si="118"/>
        <v/>
      </c>
    </row>
    <row r="440" spans="1:41">
      <c r="A440" t="s">
        <v>1556</v>
      </c>
      <c r="B440" t="s">
        <v>667</v>
      </c>
      <c r="C440" t="s">
        <v>1557</v>
      </c>
      <c r="D440">
        <v>437</v>
      </c>
      <c r="E440">
        <v>53</v>
      </c>
      <c r="F440">
        <v>1</v>
      </c>
      <c r="G440">
        <v>3</v>
      </c>
      <c r="H440">
        <v>1</v>
      </c>
      <c r="L440" t="s">
        <v>1558</v>
      </c>
      <c r="M440" t="s">
        <v>1559</v>
      </c>
      <c r="N440" t="s">
        <v>942</v>
      </c>
      <c r="O440">
        <v>0</v>
      </c>
      <c r="P440" t="s">
        <v>373</v>
      </c>
      <c r="Q440" t="s">
        <v>374</v>
      </c>
      <c r="R440">
        <v>3136</v>
      </c>
      <c r="S440" t="s">
        <v>1559</v>
      </c>
      <c r="U440" t="s">
        <v>83</v>
      </c>
      <c r="V440" t="s">
        <v>375</v>
      </c>
      <c r="W440">
        <v>12276649</v>
      </c>
      <c r="X440" t="s">
        <v>376</v>
      </c>
      <c r="Y440">
        <f t="shared" si="104"/>
        <v>6.9483000000000003E-2</v>
      </c>
      <c r="Z440">
        <f t="shared" si="105"/>
        <v>2.94</v>
      </c>
      <c r="AA440">
        <f t="shared" si="106"/>
        <v>1.3109999999999999</v>
      </c>
      <c r="AB440" s="2">
        <f t="shared" si="107"/>
        <v>53</v>
      </c>
      <c r="AC440" s="2">
        <f t="shared" si="108"/>
        <v>46</v>
      </c>
      <c r="AD440" s="2">
        <f t="shared" si="109"/>
        <v>0</v>
      </c>
      <c r="AE440" s="2">
        <f t="shared" si="110"/>
        <v>0</v>
      </c>
      <c r="AF440" s="2">
        <f t="shared" si="111"/>
        <v>39</v>
      </c>
      <c r="AG440" s="2">
        <f t="shared" si="112"/>
        <v>0</v>
      </c>
      <c r="AH440" s="2">
        <f t="shared" si="113"/>
        <v>0</v>
      </c>
      <c r="AI440" s="1">
        <f t="shared" si="114"/>
        <v>105.84</v>
      </c>
      <c r="AJ440" s="1">
        <f t="shared" si="115"/>
        <v>78.66</v>
      </c>
      <c r="AK440" s="1" t="str">
        <f t="shared" si="116"/>
        <v/>
      </c>
      <c r="AL440" s="1" t="str">
        <f t="shared" si="117"/>
        <v/>
      </c>
      <c r="AM440" s="1">
        <f t="shared" si="102"/>
        <v>390</v>
      </c>
      <c r="AN440" s="5">
        <f t="shared" si="103"/>
        <v>0</v>
      </c>
      <c r="AO440" s="1" t="str">
        <f t="shared" si="118"/>
        <v/>
      </c>
    </row>
    <row r="441" spans="1:41">
      <c r="A441" t="s">
        <v>1556</v>
      </c>
      <c r="B441" t="s">
        <v>667</v>
      </c>
      <c r="C441" t="s">
        <v>1560</v>
      </c>
      <c r="D441">
        <v>437</v>
      </c>
      <c r="E441">
        <v>53</v>
      </c>
      <c r="F441">
        <v>1</v>
      </c>
      <c r="G441">
        <v>3</v>
      </c>
      <c r="H441">
        <v>1</v>
      </c>
      <c r="L441" t="s">
        <v>1558</v>
      </c>
      <c r="M441" t="s">
        <v>1559</v>
      </c>
      <c r="N441" t="s">
        <v>942</v>
      </c>
      <c r="O441">
        <v>0</v>
      </c>
      <c r="P441" t="s">
        <v>378</v>
      </c>
      <c r="Q441" t="s">
        <v>374</v>
      </c>
      <c r="R441">
        <v>3136</v>
      </c>
      <c r="S441" t="s">
        <v>1559</v>
      </c>
      <c r="U441" t="s">
        <v>83</v>
      </c>
      <c r="V441" t="s">
        <v>375</v>
      </c>
      <c r="W441">
        <v>12276974</v>
      </c>
      <c r="X441" t="s">
        <v>379</v>
      </c>
      <c r="Y441">
        <f t="shared" si="104"/>
        <v>6.9483000000000003E-2</v>
      </c>
      <c r="Z441">
        <f t="shared" si="105"/>
        <v>2.94</v>
      </c>
      <c r="AA441">
        <f t="shared" si="106"/>
        <v>1.3109999999999999</v>
      </c>
      <c r="AB441" s="2">
        <f t="shared" si="107"/>
        <v>56</v>
      </c>
      <c r="AC441" s="2">
        <f t="shared" si="108"/>
        <v>49</v>
      </c>
      <c r="AD441" s="2">
        <f t="shared" si="109"/>
        <v>0</v>
      </c>
      <c r="AE441" s="2">
        <f t="shared" si="110"/>
        <v>0</v>
      </c>
      <c r="AF441" s="2">
        <f t="shared" si="111"/>
        <v>42</v>
      </c>
      <c r="AG441" s="2">
        <f t="shared" si="112"/>
        <v>0</v>
      </c>
      <c r="AH441" s="2">
        <f t="shared" si="113"/>
        <v>0</v>
      </c>
      <c r="AI441" s="1">
        <f t="shared" si="114"/>
        <v>105.84</v>
      </c>
      <c r="AJ441" s="1">
        <f t="shared" si="115"/>
        <v>78.66</v>
      </c>
      <c r="AK441" s="1" t="str">
        <f t="shared" si="116"/>
        <v/>
      </c>
      <c r="AL441" s="1" t="str">
        <f t="shared" si="117"/>
        <v/>
      </c>
      <c r="AM441" s="1">
        <f t="shared" si="102"/>
        <v>390</v>
      </c>
      <c r="AN441" s="5">
        <f t="shared" si="103"/>
        <v>0</v>
      </c>
      <c r="AO441" s="1" t="str">
        <f t="shared" si="118"/>
        <v/>
      </c>
    </row>
    <row r="442" spans="1:41">
      <c r="A442" t="s">
        <v>1556</v>
      </c>
      <c r="B442" t="s">
        <v>667</v>
      </c>
      <c r="C442" t="s">
        <v>1561</v>
      </c>
      <c r="D442">
        <v>437</v>
      </c>
      <c r="E442">
        <v>53</v>
      </c>
      <c r="F442">
        <v>1</v>
      </c>
      <c r="G442">
        <v>1</v>
      </c>
      <c r="H442">
        <v>1</v>
      </c>
      <c r="L442" t="s">
        <v>1558</v>
      </c>
      <c r="M442" t="s">
        <v>1559</v>
      </c>
      <c r="N442" t="s">
        <v>942</v>
      </c>
      <c r="O442">
        <v>0</v>
      </c>
      <c r="P442" t="s">
        <v>381</v>
      </c>
      <c r="Q442" t="s">
        <v>374</v>
      </c>
      <c r="R442">
        <v>3136</v>
      </c>
      <c r="S442" t="s">
        <v>1559</v>
      </c>
      <c r="U442" t="s">
        <v>83</v>
      </c>
      <c r="V442" t="s">
        <v>375</v>
      </c>
      <c r="W442">
        <v>12277282</v>
      </c>
      <c r="X442" t="s">
        <v>376</v>
      </c>
      <c r="Y442">
        <f t="shared" si="104"/>
        <v>2.3161000000000001E-2</v>
      </c>
      <c r="Z442">
        <f t="shared" si="105"/>
        <v>0.98</v>
      </c>
      <c r="AA442">
        <f t="shared" si="106"/>
        <v>0.437</v>
      </c>
      <c r="AB442" s="2">
        <f t="shared" si="107"/>
        <v>53</v>
      </c>
      <c r="AC442" s="2">
        <f t="shared" si="108"/>
        <v>46</v>
      </c>
      <c r="AD442" s="2">
        <f t="shared" si="109"/>
        <v>0</v>
      </c>
      <c r="AE442" s="2">
        <f t="shared" si="110"/>
        <v>0</v>
      </c>
      <c r="AF442" s="2">
        <f t="shared" si="111"/>
        <v>39</v>
      </c>
      <c r="AG442" s="2">
        <f t="shared" si="112"/>
        <v>0</v>
      </c>
      <c r="AH442" s="2">
        <f t="shared" si="113"/>
        <v>0</v>
      </c>
      <c r="AI442" s="1">
        <f t="shared" si="114"/>
        <v>35.28</v>
      </c>
      <c r="AJ442" s="1">
        <f t="shared" si="115"/>
        <v>26.22</v>
      </c>
      <c r="AK442" s="1" t="str">
        <f t="shared" si="116"/>
        <v/>
      </c>
      <c r="AL442" s="1" t="str">
        <f t="shared" si="117"/>
        <v/>
      </c>
      <c r="AM442" s="1">
        <f t="shared" si="102"/>
        <v>130</v>
      </c>
      <c r="AN442" s="5">
        <f t="shared" si="103"/>
        <v>0</v>
      </c>
      <c r="AO442" s="1" t="str">
        <f t="shared" si="118"/>
        <v/>
      </c>
    </row>
    <row r="443" spans="1:41">
      <c r="A443" t="s">
        <v>1562</v>
      </c>
      <c r="B443" t="s">
        <v>667</v>
      </c>
      <c r="C443" t="s">
        <v>1563</v>
      </c>
      <c r="D443">
        <v>437</v>
      </c>
      <c r="E443">
        <v>96</v>
      </c>
      <c r="F443">
        <v>1</v>
      </c>
      <c r="G443">
        <v>6</v>
      </c>
      <c r="H443">
        <v>1</v>
      </c>
      <c r="L443" t="s">
        <v>1564</v>
      </c>
      <c r="M443" t="s">
        <v>1565</v>
      </c>
      <c r="N443" t="s">
        <v>942</v>
      </c>
      <c r="O443">
        <v>0</v>
      </c>
      <c r="P443" t="s">
        <v>373</v>
      </c>
      <c r="Q443" t="s">
        <v>374</v>
      </c>
      <c r="R443">
        <v>3136</v>
      </c>
      <c r="S443" t="s">
        <v>1565</v>
      </c>
      <c r="U443" t="s">
        <v>83</v>
      </c>
      <c r="V443" t="s">
        <v>375</v>
      </c>
      <c r="W443">
        <v>12276629</v>
      </c>
      <c r="X443" t="s">
        <v>376</v>
      </c>
      <c r="Y443">
        <f t="shared" si="104"/>
        <v>0.25171199999999999</v>
      </c>
      <c r="Z443">
        <f t="shared" si="105"/>
        <v>6.3960000000000008</v>
      </c>
      <c r="AA443">
        <f t="shared" si="106"/>
        <v>2.6219999999999999</v>
      </c>
      <c r="AB443" s="2">
        <f t="shared" si="107"/>
        <v>53</v>
      </c>
      <c r="AC443" s="2">
        <f t="shared" si="108"/>
        <v>46</v>
      </c>
      <c r="AD443" s="2">
        <f t="shared" si="109"/>
        <v>0</v>
      </c>
      <c r="AE443" s="2">
        <f t="shared" si="110"/>
        <v>0</v>
      </c>
      <c r="AF443" s="2">
        <f t="shared" si="111"/>
        <v>39</v>
      </c>
      <c r="AG443" s="2">
        <f t="shared" si="112"/>
        <v>0</v>
      </c>
      <c r="AH443" s="2">
        <f t="shared" si="113"/>
        <v>0</v>
      </c>
      <c r="AI443" s="1">
        <f t="shared" si="114"/>
        <v>230.25600000000003</v>
      </c>
      <c r="AJ443" s="1">
        <f t="shared" si="115"/>
        <v>157.32</v>
      </c>
      <c r="AK443" s="1" t="str">
        <f t="shared" si="116"/>
        <v/>
      </c>
      <c r="AL443" s="1" t="str">
        <f t="shared" si="117"/>
        <v/>
      </c>
      <c r="AM443" s="1">
        <f t="shared" si="102"/>
        <v>780</v>
      </c>
      <c r="AN443" s="5">
        <f t="shared" si="103"/>
        <v>0</v>
      </c>
      <c r="AO443" s="1" t="str">
        <f t="shared" si="118"/>
        <v/>
      </c>
    </row>
    <row r="444" spans="1:41">
      <c r="A444" t="s">
        <v>1562</v>
      </c>
      <c r="B444" t="s">
        <v>667</v>
      </c>
      <c r="C444" t="s">
        <v>1566</v>
      </c>
      <c r="D444">
        <v>437</v>
      </c>
      <c r="E444">
        <v>96</v>
      </c>
      <c r="F444">
        <v>1</v>
      </c>
      <c r="G444">
        <v>6</v>
      </c>
      <c r="H444">
        <v>1</v>
      </c>
      <c r="L444" t="s">
        <v>1564</v>
      </c>
      <c r="M444" t="s">
        <v>1565</v>
      </c>
      <c r="N444" t="s">
        <v>942</v>
      </c>
      <c r="O444">
        <v>0</v>
      </c>
      <c r="P444" t="s">
        <v>378</v>
      </c>
      <c r="Q444" t="s">
        <v>374</v>
      </c>
      <c r="R444">
        <v>3136</v>
      </c>
      <c r="S444" t="s">
        <v>1565</v>
      </c>
      <c r="U444" t="s">
        <v>83</v>
      </c>
      <c r="V444" t="s">
        <v>375</v>
      </c>
      <c r="W444">
        <v>12276972</v>
      </c>
      <c r="X444" t="s">
        <v>379</v>
      </c>
      <c r="Y444">
        <f t="shared" si="104"/>
        <v>0.25171199999999999</v>
      </c>
      <c r="Z444">
        <f t="shared" si="105"/>
        <v>6.3960000000000008</v>
      </c>
      <c r="AA444">
        <f t="shared" si="106"/>
        <v>2.6219999999999999</v>
      </c>
      <c r="AB444" s="2">
        <f t="shared" si="107"/>
        <v>56</v>
      </c>
      <c r="AC444" s="2">
        <f t="shared" si="108"/>
        <v>49</v>
      </c>
      <c r="AD444" s="2">
        <f t="shared" si="109"/>
        <v>0</v>
      </c>
      <c r="AE444" s="2">
        <f t="shared" si="110"/>
        <v>0</v>
      </c>
      <c r="AF444" s="2">
        <f t="shared" si="111"/>
        <v>42</v>
      </c>
      <c r="AG444" s="2">
        <f t="shared" si="112"/>
        <v>0</v>
      </c>
      <c r="AH444" s="2">
        <f t="shared" si="113"/>
        <v>0</v>
      </c>
      <c r="AI444" s="1">
        <f t="shared" si="114"/>
        <v>230.25600000000003</v>
      </c>
      <c r="AJ444" s="1">
        <f t="shared" si="115"/>
        <v>157.32</v>
      </c>
      <c r="AK444" s="1" t="str">
        <f t="shared" si="116"/>
        <v/>
      </c>
      <c r="AL444" s="1" t="str">
        <f t="shared" si="117"/>
        <v/>
      </c>
      <c r="AM444" s="1">
        <f t="shared" si="102"/>
        <v>780</v>
      </c>
      <c r="AN444" s="5">
        <f t="shared" si="103"/>
        <v>0</v>
      </c>
      <c r="AO444" s="1" t="str">
        <f t="shared" si="118"/>
        <v/>
      </c>
    </row>
    <row r="445" spans="1:41">
      <c r="A445" t="s">
        <v>1562</v>
      </c>
      <c r="B445" t="s">
        <v>667</v>
      </c>
      <c r="C445" t="s">
        <v>1567</v>
      </c>
      <c r="D445">
        <v>437</v>
      </c>
      <c r="E445">
        <v>96</v>
      </c>
      <c r="F445">
        <v>1</v>
      </c>
      <c r="G445">
        <v>2</v>
      </c>
      <c r="H445">
        <v>1</v>
      </c>
      <c r="L445" t="s">
        <v>1564</v>
      </c>
      <c r="M445" t="s">
        <v>1565</v>
      </c>
      <c r="N445" t="s">
        <v>942</v>
      </c>
      <c r="O445">
        <v>0</v>
      </c>
      <c r="P445" t="s">
        <v>381</v>
      </c>
      <c r="Q445" t="s">
        <v>374</v>
      </c>
      <c r="R445">
        <v>3136</v>
      </c>
      <c r="S445" t="s">
        <v>1565</v>
      </c>
      <c r="U445" t="s">
        <v>83</v>
      </c>
      <c r="V445" t="s">
        <v>375</v>
      </c>
      <c r="W445">
        <v>12277262</v>
      </c>
      <c r="X445" t="s">
        <v>376</v>
      </c>
      <c r="Y445">
        <f t="shared" si="104"/>
        <v>8.3904000000000006E-2</v>
      </c>
      <c r="Z445">
        <f t="shared" si="105"/>
        <v>2.1320000000000001</v>
      </c>
      <c r="AA445">
        <f t="shared" si="106"/>
        <v>0.874</v>
      </c>
      <c r="AB445" s="2">
        <f t="shared" si="107"/>
        <v>53</v>
      </c>
      <c r="AC445" s="2">
        <f t="shared" si="108"/>
        <v>46</v>
      </c>
      <c r="AD445" s="2">
        <f t="shared" si="109"/>
        <v>0</v>
      </c>
      <c r="AE445" s="2">
        <f t="shared" si="110"/>
        <v>0</v>
      </c>
      <c r="AF445" s="2">
        <f t="shared" si="111"/>
        <v>39</v>
      </c>
      <c r="AG445" s="2">
        <f t="shared" si="112"/>
        <v>0</v>
      </c>
      <c r="AH445" s="2">
        <f t="shared" si="113"/>
        <v>0</v>
      </c>
      <c r="AI445" s="1">
        <f t="shared" si="114"/>
        <v>76.75200000000001</v>
      </c>
      <c r="AJ445" s="1">
        <f t="shared" si="115"/>
        <v>52.44</v>
      </c>
      <c r="AK445" s="1" t="str">
        <f t="shared" si="116"/>
        <v/>
      </c>
      <c r="AL445" s="1" t="str">
        <f t="shared" si="117"/>
        <v/>
      </c>
      <c r="AM445" s="1">
        <f t="shared" si="102"/>
        <v>260</v>
      </c>
      <c r="AN445" s="5">
        <f t="shared" si="103"/>
        <v>0</v>
      </c>
      <c r="AO445" s="1" t="str">
        <f t="shared" si="118"/>
        <v/>
      </c>
    </row>
    <row r="446" spans="1:41">
      <c r="A446" t="s">
        <v>1568</v>
      </c>
      <c r="B446" t="s">
        <v>1108</v>
      </c>
      <c r="C446" t="s">
        <v>1569</v>
      </c>
      <c r="D446">
        <v>400</v>
      </c>
      <c r="E446">
        <v>89</v>
      </c>
      <c r="F446">
        <v>0</v>
      </c>
      <c r="G446">
        <v>3</v>
      </c>
      <c r="H446">
        <v>1</v>
      </c>
      <c r="L446" t="s">
        <v>1570</v>
      </c>
      <c r="M446" t="s">
        <v>1571</v>
      </c>
      <c r="N446" t="s">
        <v>1112</v>
      </c>
      <c r="O446">
        <v>0</v>
      </c>
      <c r="P446" t="s">
        <v>734</v>
      </c>
      <c r="Q446" t="s">
        <v>134</v>
      </c>
      <c r="R446">
        <v>10695</v>
      </c>
      <c r="S446" t="s">
        <v>1571</v>
      </c>
      <c r="U446" t="s">
        <v>135</v>
      </c>
      <c r="V446" t="s">
        <v>735</v>
      </c>
      <c r="W446">
        <v>12278507</v>
      </c>
      <c r="X446" t="s">
        <v>736</v>
      </c>
      <c r="Y446">
        <f t="shared" si="104"/>
        <v>0.10680000000000001</v>
      </c>
      <c r="Z446">
        <f t="shared" si="105"/>
        <v>2.9340000000000002</v>
      </c>
      <c r="AA446">
        <f t="shared" si="106"/>
        <v>1.2000000000000002</v>
      </c>
      <c r="AB446" s="2">
        <f t="shared" si="107"/>
        <v>19</v>
      </c>
      <c r="AC446" s="2">
        <f t="shared" si="108"/>
        <v>13</v>
      </c>
      <c r="AD446" s="2">
        <f t="shared" si="109"/>
        <v>0</v>
      </c>
      <c r="AE446" s="2">
        <f t="shared" si="110"/>
        <v>0</v>
      </c>
      <c r="AF446" s="2">
        <f t="shared" si="111"/>
        <v>10</v>
      </c>
      <c r="AG446" s="2">
        <f t="shared" si="112"/>
        <v>0</v>
      </c>
      <c r="AH446" s="2">
        <f t="shared" si="113"/>
        <v>0</v>
      </c>
      <c r="AI446" s="1">
        <f t="shared" si="114"/>
        <v>105.62400000000001</v>
      </c>
      <c r="AJ446" s="1">
        <f t="shared" si="115"/>
        <v>72.000000000000014</v>
      </c>
      <c r="AK446" s="1" t="str">
        <f t="shared" si="116"/>
        <v/>
      </c>
      <c r="AL446" s="1" t="str">
        <f t="shared" si="117"/>
        <v/>
      </c>
      <c r="AM446" s="1">
        <f t="shared" si="102"/>
        <v>390</v>
      </c>
      <c r="AN446" s="5">
        <f t="shared" si="103"/>
        <v>0</v>
      </c>
      <c r="AO446" s="1" t="str">
        <f t="shared" si="118"/>
        <v/>
      </c>
    </row>
    <row r="447" spans="1:41">
      <c r="A447" t="s">
        <v>1572</v>
      </c>
      <c r="B447" t="s">
        <v>1108</v>
      </c>
      <c r="C447" t="s">
        <v>1573</v>
      </c>
      <c r="D447">
        <v>400</v>
      </c>
      <c r="E447">
        <v>89</v>
      </c>
      <c r="F447">
        <v>0</v>
      </c>
      <c r="G447">
        <v>3</v>
      </c>
      <c r="H447">
        <v>1</v>
      </c>
      <c r="L447" t="s">
        <v>1574</v>
      </c>
      <c r="M447" t="s">
        <v>1575</v>
      </c>
      <c r="N447" t="s">
        <v>1112</v>
      </c>
      <c r="O447">
        <v>0</v>
      </c>
      <c r="P447" t="s">
        <v>734</v>
      </c>
      <c r="Q447" t="s">
        <v>134</v>
      </c>
      <c r="R447">
        <v>10695</v>
      </c>
      <c r="S447" t="s">
        <v>1575</v>
      </c>
      <c r="U447" t="s">
        <v>135</v>
      </c>
      <c r="V447" t="s">
        <v>735</v>
      </c>
      <c r="W447">
        <v>12278508</v>
      </c>
      <c r="X447" t="s">
        <v>736</v>
      </c>
      <c r="Y447">
        <f t="shared" si="104"/>
        <v>0.10680000000000001</v>
      </c>
      <c r="Z447">
        <f t="shared" si="105"/>
        <v>2.9340000000000002</v>
      </c>
      <c r="AA447">
        <f t="shared" si="106"/>
        <v>1.2000000000000002</v>
      </c>
      <c r="AB447" s="2">
        <f t="shared" si="107"/>
        <v>19</v>
      </c>
      <c r="AC447" s="2">
        <f t="shared" si="108"/>
        <v>13</v>
      </c>
      <c r="AD447" s="2">
        <f t="shared" si="109"/>
        <v>0</v>
      </c>
      <c r="AE447" s="2">
        <f t="shared" si="110"/>
        <v>0</v>
      </c>
      <c r="AF447" s="2">
        <f t="shared" si="111"/>
        <v>10</v>
      </c>
      <c r="AG447" s="2">
        <f t="shared" si="112"/>
        <v>0</v>
      </c>
      <c r="AH447" s="2">
        <f t="shared" si="113"/>
        <v>0</v>
      </c>
      <c r="AI447" s="1">
        <f t="shared" si="114"/>
        <v>105.62400000000001</v>
      </c>
      <c r="AJ447" s="1">
        <f t="shared" si="115"/>
        <v>72.000000000000014</v>
      </c>
      <c r="AK447" s="1" t="str">
        <f t="shared" si="116"/>
        <v/>
      </c>
      <c r="AL447" s="1" t="str">
        <f t="shared" si="117"/>
        <v/>
      </c>
      <c r="AM447" s="1">
        <f t="shared" si="102"/>
        <v>390</v>
      </c>
      <c r="AN447" s="5">
        <f t="shared" si="103"/>
        <v>0</v>
      </c>
      <c r="AO447" s="1" t="str">
        <f t="shared" si="118"/>
        <v/>
      </c>
    </row>
    <row r="448" spans="1:41">
      <c r="A448" t="s">
        <v>1576</v>
      </c>
      <c r="B448" t="s">
        <v>1108</v>
      </c>
      <c r="C448" t="s">
        <v>1577</v>
      </c>
      <c r="D448">
        <v>372</v>
      </c>
      <c r="E448">
        <v>76</v>
      </c>
      <c r="F448">
        <v>0</v>
      </c>
      <c r="G448">
        <v>3</v>
      </c>
      <c r="H448">
        <v>1</v>
      </c>
      <c r="L448" t="s">
        <v>1578</v>
      </c>
      <c r="M448" t="s">
        <v>1579</v>
      </c>
      <c r="N448" t="s">
        <v>1112</v>
      </c>
      <c r="O448">
        <v>0</v>
      </c>
      <c r="P448" t="s">
        <v>734</v>
      </c>
      <c r="Q448" t="s">
        <v>134</v>
      </c>
      <c r="R448">
        <v>10695</v>
      </c>
      <c r="S448" t="s">
        <v>1579</v>
      </c>
      <c r="U448" t="s">
        <v>135</v>
      </c>
      <c r="V448" t="s">
        <v>735</v>
      </c>
      <c r="W448">
        <v>12278509</v>
      </c>
      <c r="X448" t="s">
        <v>736</v>
      </c>
      <c r="Y448">
        <f t="shared" si="104"/>
        <v>8.4816000000000003E-2</v>
      </c>
      <c r="Z448">
        <f t="shared" si="105"/>
        <v>2.6880000000000002</v>
      </c>
      <c r="AA448">
        <f t="shared" si="106"/>
        <v>1.1160000000000001</v>
      </c>
      <c r="AB448" s="2">
        <f t="shared" si="107"/>
        <v>16</v>
      </c>
      <c r="AC448" s="2">
        <f t="shared" si="108"/>
        <v>13</v>
      </c>
      <c r="AD448" s="2">
        <f t="shared" si="109"/>
        <v>0</v>
      </c>
      <c r="AE448" s="2">
        <f t="shared" si="110"/>
        <v>0</v>
      </c>
      <c r="AF448" s="2">
        <f t="shared" si="111"/>
        <v>10</v>
      </c>
      <c r="AG448" s="2">
        <f t="shared" si="112"/>
        <v>0</v>
      </c>
      <c r="AH448" s="2">
        <f t="shared" si="113"/>
        <v>0</v>
      </c>
      <c r="AI448" s="1">
        <f t="shared" si="114"/>
        <v>96.768000000000001</v>
      </c>
      <c r="AJ448" s="1">
        <f t="shared" si="115"/>
        <v>66.960000000000008</v>
      </c>
      <c r="AK448" s="1" t="str">
        <f t="shared" si="116"/>
        <v/>
      </c>
      <c r="AL448" s="1" t="str">
        <f t="shared" si="117"/>
        <v/>
      </c>
      <c r="AM448" s="1">
        <f t="shared" si="102"/>
        <v>390</v>
      </c>
      <c r="AN448" s="5">
        <f t="shared" si="103"/>
        <v>0</v>
      </c>
      <c r="AO448" s="1" t="str">
        <f t="shared" si="118"/>
        <v/>
      </c>
    </row>
    <row r="449" spans="1:41">
      <c r="A449" t="s">
        <v>1580</v>
      </c>
      <c r="B449" t="s">
        <v>1108</v>
      </c>
      <c r="C449" t="s">
        <v>1581</v>
      </c>
      <c r="D449">
        <v>400</v>
      </c>
      <c r="E449">
        <v>89</v>
      </c>
      <c r="F449">
        <v>0</v>
      </c>
      <c r="G449">
        <v>1</v>
      </c>
      <c r="H449">
        <v>1</v>
      </c>
      <c r="L449" t="s">
        <v>1582</v>
      </c>
      <c r="M449" t="s">
        <v>1583</v>
      </c>
      <c r="N449" t="s">
        <v>1112</v>
      </c>
      <c r="O449">
        <v>0</v>
      </c>
      <c r="P449" t="s">
        <v>806</v>
      </c>
      <c r="Q449" t="s">
        <v>134</v>
      </c>
      <c r="R449">
        <v>10695</v>
      </c>
      <c r="S449" t="s">
        <v>1583</v>
      </c>
      <c r="U449" t="s">
        <v>105</v>
      </c>
      <c r="V449" t="s">
        <v>807</v>
      </c>
      <c r="W449">
        <v>12278798</v>
      </c>
      <c r="X449" t="s">
        <v>813</v>
      </c>
      <c r="Y449">
        <f t="shared" si="104"/>
        <v>3.56E-2</v>
      </c>
      <c r="Z449">
        <f t="shared" si="105"/>
        <v>0.97799999999999998</v>
      </c>
      <c r="AA449">
        <f t="shared" si="106"/>
        <v>0.4</v>
      </c>
      <c r="AB449" s="2">
        <f t="shared" si="107"/>
        <v>18</v>
      </c>
      <c r="AC449" s="2">
        <f t="shared" si="108"/>
        <v>12</v>
      </c>
      <c r="AD449" s="2">
        <f t="shared" si="109"/>
        <v>0</v>
      </c>
      <c r="AE449" s="2">
        <f t="shared" si="110"/>
        <v>0</v>
      </c>
      <c r="AF449" s="2">
        <f t="shared" si="111"/>
        <v>9</v>
      </c>
      <c r="AG449" s="2">
        <f t="shared" si="112"/>
        <v>0</v>
      </c>
      <c r="AH449" s="2">
        <f t="shared" si="113"/>
        <v>0</v>
      </c>
      <c r="AI449" s="1">
        <f t="shared" si="114"/>
        <v>35.207999999999998</v>
      </c>
      <c r="AJ449" s="1">
        <f t="shared" si="115"/>
        <v>24</v>
      </c>
      <c r="AK449" s="1" t="str">
        <f t="shared" si="116"/>
        <v/>
      </c>
      <c r="AL449" s="1" t="str">
        <f t="shared" si="117"/>
        <v/>
      </c>
      <c r="AM449" s="1">
        <f t="shared" si="102"/>
        <v>130</v>
      </c>
      <c r="AN449" s="5">
        <f t="shared" si="103"/>
        <v>0</v>
      </c>
      <c r="AO449" s="1" t="str">
        <f t="shared" si="118"/>
        <v/>
      </c>
    </row>
    <row r="450" spans="1:41">
      <c r="A450" t="s">
        <v>1584</v>
      </c>
      <c r="B450" t="s">
        <v>1108</v>
      </c>
      <c r="C450" t="s">
        <v>1585</v>
      </c>
      <c r="D450">
        <v>400</v>
      </c>
      <c r="E450">
        <v>89</v>
      </c>
      <c r="F450">
        <v>0</v>
      </c>
      <c r="G450">
        <v>1</v>
      </c>
      <c r="H450">
        <v>1</v>
      </c>
      <c r="L450" t="s">
        <v>1586</v>
      </c>
      <c r="M450" t="s">
        <v>1587</v>
      </c>
      <c r="N450" t="s">
        <v>1112</v>
      </c>
      <c r="O450">
        <v>0</v>
      </c>
      <c r="P450" t="s">
        <v>806</v>
      </c>
      <c r="Q450" t="s">
        <v>134</v>
      </c>
      <c r="R450">
        <v>10695</v>
      </c>
      <c r="S450" t="s">
        <v>1587</v>
      </c>
      <c r="U450" t="s">
        <v>105</v>
      </c>
      <c r="V450" t="s">
        <v>807</v>
      </c>
      <c r="W450">
        <v>12278795</v>
      </c>
      <c r="X450" t="s">
        <v>813</v>
      </c>
      <c r="Y450">
        <f t="shared" si="104"/>
        <v>3.56E-2</v>
      </c>
      <c r="Z450">
        <f t="shared" si="105"/>
        <v>0.97799999999999998</v>
      </c>
      <c r="AA450">
        <f t="shared" si="106"/>
        <v>0.4</v>
      </c>
      <c r="AB450" s="2">
        <f t="shared" si="107"/>
        <v>18</v>
      </c>
      <c r="AC450" s="2">
        <f t="shared" si="108"/>
        <v>12</v>
      </c>
      <c r="AD450" s="2">
        <f t="shared" si="109"/>
        <v>0</v>
      </c>
      <c r="AE450" s="2">
        <f t="shared" si="110"/>
        <v>0</v>
      </c>
      <c r="AF450" s="2">
        <f t="shared" si="111"/>
        <v>9</v>
      </c>
      <c r="AG450" s="2">
        <f t="shared" si="112"/>
        <v>0</v>
      </c>
      <c r="AH450" s="2">
        <f t="shared" si="113"/>
        <v>0</v>
      </c>
      <c r="AI450" s="1">
        <f t="shared" si="114"/>
        <v>35.207999999999998</v>
      </c>
      <c r="AJ450" s="1">
        <f t="shared" si="115"/>
        <v>24</v>
      </c>
      <c r="AK450" s="1" t="str">
        <f t="shared" si="116"/>
        <v/>
      </c>
      <c r="AL450" s="1" t="str">
        <f t="shared" si="117"/>
        <v/>
      </c>
      <c r="AM450" s="1">
        <f t="shared" si="102"/>
        <v>130</v>
      </c>
      <c r="AN450" s="5">
        <f t="shared" si="103"/>
        <v>0</v>
      </c>
      <c r="AO450" s="1" t="str">
        <f t="shared" si="118"/>
        <v/>
      </c>
    </row>
    <row r="451" spans="1:41">
      <c r="A451" t="s">
        <v>1588</v>
      </c>
      <c r="B451" t="s">
        <v>1108</v>
      </c>
      <c r="C451" t="s">
        <v>1589</v>
      </c>
      <c r="D451">
        <v>187</v>
      </c>
      <c r="E451">
        <v>76</v>
      </c>
      <c r="F451">
        <v>0</v>
      </c>
      <c r="G451">
        <v>1</v>
      </c>
      <c r="H451">
        <v>1</v>
      </c>
      <c r="L451" t="s">
        <v>1590</v>
      </c>
      <c r="M451" t="s">
        <v>1591</v>
      </c>
      <c r="N451" t="s">
        <v>1112</v>
      </c>
      <c r="O451">
        <v>0</v>
      </c>
      <c r="P451" t="s">
        <v>806</v>
      </c>
      <c r="Q451" t="s">
        <v>134</v>
      </c>
      <c r="R451">
        <v>10695</v>
      </c>
      <c r="S451" t="s">
        <v>1591</v>
      </c>
      <c r="U451" t="s">
        <v>105</v>
      </c>
      <c r="V451" t="s">
        <v>807</v>
      </c>
      <c r="W451">
        <v>12278790</v>
      </c>
      <c r="X451" t="s">
        <v>813</v>
      </c>
      <c r="Y451">
        <f t="shared" si="104"/>
        <v>1.4212000000000001E-2</v>
      </c>
      <c r="Z451">
        <f t="shared" si="105"/>
        <v>0.52600000000000002</v>
      </c>
      <c r="AA451">
        <f t="shared" si="106"/>
        <v>0.187</v>
      </c>
      <c r="AB451" s="2">
        <f t="shared" si="107"/>
        <v>15</v>
      </c>
      <c r="AC451" s="2">
        <f t="shared" si="108"/>
        <v>12</v>
      </c>
      <c r="AD451" s="2">
        <f t="shared" si="109"/>
        <v>0</v>
      </c>
      <c r="AE451" s="2">
        <f t="shared" si="110"/>
        <v>0</v>
      </c>
      <c r="AF451" s="2">
        <f t="shared" si="111"/>
        <v>9</v>
      </c>
      <c r="AG451" s="2">
        <f t="shared" si="112"/>
        <v>0</v>
      </c>
      <c r="AH451" s="2">
        <f t="shared" si="113"/>
        <v>0</v>
      </c>
      <c r="AI451" s="1">
        <f t="shared" si="114"/>
        <v>18.936</v>
      </c>
      <c r="AJ451" s="1">
        <f t="shared" si="115"/>
        <v>11.22</v>
      </c>
      <c r="AK451" s="1" t="str">
        <f t="shared" si="116"/>
        <v/>
      </c>
      <c r="AL451" s="1" t="str">
        <f t="shared" si="117"/>
        <v/>
      </c>
      <c r="AM451" s="1">
        <f t="shared" ref="AM451:AM462" si="119">IF(AF451&gt;0,G451*(130),"")</f>
        <v>130</v>
      </c>
      <c r="AN451" s="5">
        <f t="shared" ref="AN451:AN462" si="120">IF(AG451&gt;0,G451*252)+IF(AG451&gt;0,G451*Y451*662)</f>
        <v>0</v>
      </c>
      <c r="AO451" s="1" t="str">
        <f t="shared" si="118"/>
        <v/>
      </c>
    </row>
    <row r="452" spans="1:41">
      <c r="A452" t="s">
        <v>1508</v>
      </c>
      <c r="B452" t="s">
        <v>1152</v>
      </c>
      <c r="C452" t="s">
        <v>1509</v>
      </c>
      <c r="D452">
        <v>368</v>
      </c>
      <c r="E452">
        <v>102</v>
      </c>
      <c r="F452">
        <v>0</v>
      </c>
      <c r="G452">
        <v>4</v>
      </c>
      <c r="H452">
        <v>1</v>
      </c>
      <c r="L452" t="s">
        <v>1510</v>
      </c>
      <c r="M452" t="s">
        <v>1511</v>
      </c>
      <c r="N452" t="s">
        <v>1156</v>
      </c>
      <c r="O452">
        <v>0</v>
      </c>
      <c r="P452" t="s">
        <v>406</v>
      </c>
      <c r="Q452" t="s">
        <v>374</v>
      </c>
      <c r="R452">
        <v>3136</v>
      </c>
      <c r="S452" t="s">
        <v>1511</v>
      </c>
      <c r="U452" t="s">
        <v>83</v>
      </c>
      <c r="V452" t="s">
        <v>407</v>
      </c>
      <c r="W452">
        <v>12277726</v>
      </c>
      <c r="X452" t="s">
        <v>406</v>
      </c>
      <c r="Y452">
        <f t="shared" ref="Y452:Y462" si="121">(D452*E452)*G452/1000000</f>
        <v>0.150144</v>
      </c>
      <c r="Z452">
        <f t="shared" ref="Z452:Z462" si="122">(((D452+E452)*2)/1000)*G452</f>
        <v>3.76</v>
      </c>
      <c r="AA452">
        <f t="shared" ref="AA452:AA462" si="123">(((D452*H452)+(D452*I452)+(E452*J452)+(E452*K452))/1000)*G452</f>
        <v>1.472</v>
      </c>
      <c r="AB452" s="2">
        <f t="shared" ref="AB452:AB462" si="124">SEARCH($AB$1,C452)</f>
        <v>14</v>
      </c>
      <c r="AC452" s="2">
        <f t="shared" ref="AC452:AC462" si="125">IFERROR(SEARCH($AC$1,C452),0)</f>
        <v>11</v>
      </c>
      <c r="AD452" s="2">
        <f t="shared" ref="AD452:AD462" si="126">IFERROR(SEARCH($AD$1,C452),0)</f>
        <v>0</v>
      </c>
      <c r="AE452" s="2">
        <f t="shared" ref="AE452:AE462" si="127">IFERROR(SEARCH($AE$1,C452),0)</f>
        <v>0</v>
      </c>
      <c r="AF452" s="2">
        <f t="shared" ref="AF452:AF462" si="128">IFERROR(SEARCH($AF$1,C452),0)</f>
        <v>8</v>
      </c>
      <c r="AG452" s="2">
        <f t="shared" ref="AG452:AG462" si="129">IFERROR(SEARCH($AG$1,C452),0)</f>
        <v>0</v>
      </c>
      <c r="AH452" s="2">
        <f t="shared" ref="AH452:AH462" si="130">IFERROR(SEARCH($AH$1,C452),0)</f>
        <v>0</v>
      </c>
      <c r="AI452" s="1">
        <f t="shared" ref="AI452:AI462" si="131">Z452*36</f>
        <v>135.35999999999999</v>
      </c>
      <c r="AJ452" s="1">
        <f t="shared" ref="AJ452:AJ462" si="132">AA452*60</f>
        <v>88.32</v>
      </c>
      <c r="AK452" s="1" t="str">
        <f t="shared" ref="AK452:AK462" si="133">IF(AD452&gt;0,G452*220,"")</f>
        <v/>
      </c>
      <c r="AL452" s="1" t="str">
        <f t="shared" ref="AL452:AL462" si="134">IF(AE452&gt;0,G452*(240),"")</f>
        <v/>
      </c>
      <c r="AM452" s="1">
        <f t="shared" si="119"/>
        <v>520</v>
      </c>
      <c r="AN452" s="5">
        <f t="shared" si="120"/>
        <v>0</v>
      </c>
      <c r="AO452" s="1" t="str">
        <f t="shared" ref="AO452:AO462" si="135">IF(AH452&gt;0,G452*4800,"")</f>
        <v/>
      </c>
    </row>
    <row r="453" spans="1:41">
      <c r="A453" t="s">
        <v>1512</v>
      </c>
      <c r="B453" t="s">
        <v>1152</v>
      </c>
      <c r="C453" t="s">
        <v>1513</v>
      </c>
      <c r="D453">
        <v>368</v>
      </c>
      <c r="E453">
        <v>66</v>
      </c>
      <c r="F453">
        <v>0</v>
      </c>
      <c r="G453">
        <v>2</v>
      </c>
      <c r="H453">
        <v>1</v>
      </c>
      <c r="L453" t="s">
        <v>1514</v>
      </c>
      <c r="M453" t="s">
        <v>1515</v>
      </c>
      <c r="N453" t="s">
        <v>1156</v>
      </c>
      <c r="O453">
        <v>0</v>
      </c>
      <c r="P453" t="s">
        <v>406</v>
      </c>
      <c r="Q453" t="s">
        <v>374</v>
      </c>
      <c r="R453">
        <v>3136</v>
      </c>
      <c r="S453" t="s">
        <v>1515</v>
      </c>
      <c r="U453" t="s">
        <v>83</v>
      </c>
      <c r="V453" t="s">
        <v>407</v>
      </c>
      <c r="W453">
        <v>12277723</v>
      </c>
      <c r="X453" t="s">
        <v>406</v>
      </c>
      <c r="Y453">
        <f t="shared" si="121"/>
        <v>4.8576000000000001E-2</v>
      </c>
      <c r="Z453">
        <f t="shared" si="122"/>
        <v>1.736</v>
      </c>
      <c r="AA453">
        <f t="shared" si="123"/>
        <v>0.73599999999999999</v>
      </c>
      <c r="AB453" s="2">
        <f t="shared" si="124"/>
        <v>14</v>
      </c>
      <c r="AC453" s="2">
        <f t="shared" si="125"/>
        <v>11</v>
      </c>
      <c r="AD453" s="2">
        <f t="shared" si="126"/>
        <v>0</v>
      </c>
      <c r="AE453" s="2">
        <f t="shared" si="127"/>
        <v>0</v>
      </c>
      <c r="AF453" s="2">
        <f t="shared" si="128"/>
        <v>8</v>
      </c>
      <c r="AG453" s="2">
        <f t="shared" si="129"/>
        <v>0</v>
      </c>
      <c r="AH453" s="2">
        <f t="shared" si="130"/>
        <v>0</v>
      </c>
      <c r="AI453" s="1">
        <f t="shared" si="131"/>
        <v>62.496000000000002</v>
      </c>
      <c r="AJ453" s="1">
        <f t="shared" si="132"/>
        <v>44.16</v>
      </c>
      <c r="AK453" s="1" t="str">
        <f t="shared" si="133"/>
        <v/>
      </c>
      <c r="AL453" s="1" t="str">
        <f t="shared" si="134"/>
        <v/>
      </c>
      <c r="AM453" s="1">
        <f t="shared" si="119"/>
        <v>260</v>
      </c>
      <c r="AN453" s="5">
        <f t="shared" si="120"/>
        <v>0</v>
      </c>
      <c r="AO453" s="1" t="str">
        <f t="shared" si="135"/>
        <v/>
      </c>
    </row>
    <row r="454" spans="1:41">
      <c r="A454" t="s">
        <v>1516</v>
      </c>
      <c r="B454" t="s">
        <v>1152</v>
      </c>
      <c r="C454" t="s">
        <v>1517</v>
      </c>
      <c r="D454">
        <v>400</v>
      </c>
      <c r="E454">
        <v>115</v>
      </c>
      <c r="F454">
        <v>0</v>
      </c>
      <c r="G454">
        <v>4</v>
      </c>
      <c r="H454">
        <v>1</v>
      </c>
      <c r="L454" t="s">
        <v>1518</v>
      </c>
      <c r="M454" t="s">
        <v>1519</v>
      </c>
      <c r="N454" t="s">
        <v>1156</v>
      </c>
      <c r="O454">
        <v>0</v>
      </c>
      <c r="P454" t="s">
        <v>406</v>
      </c>
      <c r="Q454" t="s">
        <v>374</v>
      </c>
      <c r="R454">
        <v>3136</v>
      </c>
      <c r="S454" t="s">
        <v>1519</v>
      </c>
      <c r="U454" t="s">
        <v>83</v>
      </c>
      <c r="V454" t="s">
        <v>407</v>
      </c>
      <c r="W454">
        <v>12277752</v>
      </c>
      <c r="X454" t="s">
        <v>406</v>
      </c>
      <c r="Y454">
        <f t="shared" si="121"/>
        <v>0.184</v>
      </c>
      <c r="Z454">
        <f t="shared" si="122"/>
        <v>4.12</v>
      </c>
      <c r="AA454">
        <f t="shared" si="123"/>
        <v>1.6</v>
      </c>
      <c r="AB454" s="2">
        <f t="shared" si="124"/>
        <v>17</v>
      </c>
      <c r="AC454" s="2">
        <f t="shared" si="125"/>
        <v>11</v>
      </c>
      <c r="AD454" s="2">
        <f t="shared" si="126"/>
        <v>0</v>
      </c>
      <c r="AE454" s="2">
        <f t="shared" si="127"/>
        <v>0</v>
      </c>
      <c r="AF454" s="2">
        <f t="shared" si="128"/>
        <v>8</v>
      </c>
      <c r="AG454" s="2">
        <f t="shared" si="129"/>
        <v>0</v>
      </c>
      <c r="AH454" s="2">
        <f t="shared" si="130"/>
        <v>0</v>
      </c>
      <c r="AI454" s="1">
        <f t="shared" si="131"/>
        <v>148.32</v>
      </c>
      <c r="AJ454" s="1">
        <f t="shared" si="132"/>
        <v>96</v>
      </c>
      <c r="AK454" s="1" t="str">
        <f t="shared" si="133"/>
        <v/>
      </c>
      <c r="AL454" s="1" t="str">
        <f t="shared" si="134"/>
        <v/>
      </c>
      <c r="AM454" s="1">
        <f t="shared" si="119"/>
        <v>520</v>
      </c>
      <c r="AN454" s="5">
        <f t="shared" si="120"/>
        <v>0</v>
      </c>
      <c r="AO454" s="1" t="str">
        <f t="shared" si="135"/>
        <v/>
      </c>
    </row>
    <row r="455" spans="1:41">
      <c r="A455" t="s">
        <v>1520</v>
      </c>
      <c r="B455" t="s">
        <v>1152</v>
      </c>
      <c r="C455" t="s">
        <v>1521</v>
      </c>
      <c r="D455">
        <v>400</v>
      </c>
      <c r="E455">
        <v>79</v>
      </c>
      <c r="F455">
        <v>0</v>
      </c>
      <c r="G455">
        <v>2</v>
      </c>
      <c r="H455">
        <v>1</v>
      </c>
      <c r="L455" t="s">
        <v>1522</v>
      </c>
      <c r="M455" t="s">
        <v>1523</v>
      </c>
      <c r="N455" t="s">
        <v>1156</v>
      </c>
      <c r="O455">
        <v>0</v>
      </c>
      <c r="P455" t="s">
        <v>406</v>
      </c>
      <c r="Q455" t="s">
        <v>374</v>
      </c>
      <c r="R455">
        <v>3136</v>
      </c>
      <c r="S455" t="s">
        <v>1523</v>
      </c>
      <c r="U455" t="s">
        <v>83</v>
      </c>
      <c r="V455" t="s">
        <v>407</v>
      </c>
      <c r="W455">
        <v>12277755</v>
      </c>
      <c r="X455" t="s">
        <v>406</v>
      </c>
      <c r="Y455">
        <f t="shared" si="121"/>
        <v>6.3200000000000006E-2</v>
      </c>
      <c r="Z455">
        <f t="shared" si="122"/>
        <v>1.9159999999999999</v>
      </c>
      <c r="AA455">
        <f t="shared" si="123"/>
        <v>0.8</v>
      </c>
      <c r="AB455" s="2">
        <f t="shared" si="124"/>
        <v>17</v>
      </c>
      <c r="AC455" s="2">
        <f t="shared" si="125"/>
        <v>11</v>
      </c>
      <c r="AD455" s="2">
        <f t="shared" si="126"/>
        <v>0</v>
      </c>
      <c r="AE455" s="2">
        <f t="shared" si="127"/>
        <v>0</v>
      </c>
      <c r="AF455" s="2">
        <f t="shared" si="128"/>
        <v>8</v>
      </c>
      <c r="AG455" s="2">
        <f t="shared" si="129"/>
        <v>0</v>
      </c>
      <c r="AH455" s="2">
        <f t="shared" si="130"/>
        <v>0</v>
      </c>
      <c r="AI455" s="1">
        <f t="shared" si="131"/>
        <v>68.975999999999999</v>
      </c>
      <c r="AJ455" s="1">
        <f t="shared" si="132"/>
        <v>48</v>
      </c>
      <c r="AK455" s="1" t="str">
        <f t="shared" si="133"/>
        <v/>
      </c>
      <c r="AL455" s="1" t="str">
        <f t="shared" si="134"/>
        <v/>
      </c>
      <c r="AM455" s="1">
        <f t="shared" si="119"/>
        <v>260</v>
      </c>
      <c r="AN455" s="5">
        <f t="shared" si="120"/>
        <v>0</v>
      </c>
      <c r="AO455" s="1" t="str">
        <f t="shared" si="135"/>
        <v/>
      </c>
    </row>
    <row r="456" spans="1:41">
      <c r="A456" t="s">
        <v>1524</v>
      </c>
      <c r="B456" t="s">
        <v>1152</v>
      </c>
      <c r="C456" t="s">
        <v>1525</v>
      </c>
      <c r="D456">
        <v>400</v>
      </c>
      <c r="E456">
        <v>115</v>
      </c>
      <c r="F456">
        <v>0</v>
      </c>
      <c r="G456">
        <v>4</v>
      </c>
      <c r="H456">
        <v>1</v>
      </c>
      <c r="L456" t="s">
        <v>1526</v>
      </c>
      <c r="M456" t="s">
        <v>1527</v>
      </c>
      <c r="N456" t="s">
        <v>1156</v>
      </c>
      <c r="O456">
        <v>0</v>
      </c>
      <c r="P456" t="s">
        <v>406</v>
      </c>
      <c r="Q456" t="s">
        <v>374</v>
      </c>
      <c r="R456">
        <v>3136</v>
      </c>
      <c r="S456" t="s">
        <v>1527</v>
      </c>
      <c r="U456" t="s">
        <v>83</v>
      </c>
      <c r="V456" t="s">
        <v>407</v>
      </c>
      <c r="W456">
        <v>12277749</v>
      </c>
      <c r="X456" t="s">
        <v>406</v>
      </c>
      <c r="Y456">
        <f t="shared" si="121"/>
        <v>0.184</v>
      </c>
      <c r="Z456">
        <f t="shared" si="122"/>
        <v>4.12</v>
      </c>
      <c r="AA456">
        <f t="shared" si="123"/>
        <v>1.6</v>
      </c>
      <c r="AB456" s="2">
        <f t="shared" si="124"/>
        <v>17</v>
      </c>
      <c r="AC456" s="2">
        <f t="shared" si="125"/>
        <v>11</v>
      </c>
      <c r="AD456" s="2">
        <f t="shared" si="126"/>
        <v>0</v>
      </c>
      <c r="AE456" s="2">
        <f t="shared" si="127"/>
        <v>0</v>
      </c>
      <c r="AF456" s="2">
        <f t="shared" si="128"/>
        <v>8</v>
      </c>
      <c r="AG456" s="2">
        <f t="shared" si="129"/>
        <v>0</v>
      </c>
      <c r="AH456" s="2">
        <f t="shared" si="130"/>
        <v>0</v>
      </c>
      <c r="AI456" s="1">
        <f t="shared" si="131"/>
        <v>148.32</v>
      </c>
      <c r="AJ456" s="1">
        <f t="shared" si="132"/>
        <v>96</v>
      </c>
      <c r="AK456" s="1" t="str">
        <f t="shared" si="133"/>
        <v/>
      </c>
      <c r="AL456" s="1" t="str">
        <f t="shared" si="134"/>
        <v/>
      </c>
      <c r="AM456" s="1">
        <f t="shared" si="119"/>
        <v>520</v>
      </c>
      <c r="AN456" s="5">
        <f t="shared" si="120"/>
        <v>0</v>
      </c>
      <c r="AO456" s="1" t="str">
        <f t="shared" si="135"/>
        <v/>
      </c>
    </row>
    <row r="457" spans="1:41">
      <c r="A457" t="s">
        <v>1528</v>
      </c>
      <c r="B457" t="s">
        <v>1152</v>
      </c>
      <c r="C457" t="s">
        <v>1529</v>
      </c>
      <c r="D457">
        <v>400</v>
      </c>
      <c r="E457">
        <v>79</v>
      </c>
      <c r="F457">
        <v>0</v>
      </c>
      <c r="G457">
        <v>2</v>
      </c>
      <c r="H457">
        <v>1</v>
      </c>
      <c r="L457" t="s">
        <v>1530</v>
      </c>
      <c r="M457" t="s">
        <v>1531</v>
      </c>
      <c r="N457" t="s">
        <v>1156</v>
      </c>
      <c r="O457">
        <v>0</v>
      </c>
      <c r="P457" t="s">
        <v>406</v>
      </c>
      <c r="Q457" t="s">
        <v>374</v>
      </c>
      <c r="R457">
        <v>3136</v>
      </c>
      <c r="S457" t="s">
        <v>1531</v>
      </c>
      <c r="U457" t="s">
        <v>83</v>
      </c>
      <c r="V457" t="s">
        <v>407</v>
      </c>
      <c r="W457">
        <v>12277729</v>
      </c>
      <c r="X457" t="s">
        <v>406</v>
      </c>
      <c r="Y457">
        <f t="shared" si="121"/>
        <v>6.3200000000000006E-2</v>
      </c>
      <c r="Z457">
        <f t="shared" si="122"/>
        <v>1.9159999999999999</v>
      </c>
      <c r="AA457">
        <f t="shared" si="123"/>
        <v>0.8</v>
      </c>
      <c r="AB457" s="2">
        <f t="shared" si="124"/>
        <v>17</v>
      </c>
      <c r="AC457" s="2">
        <f t="shared" si="125"/>
        <v>11</v>
      </c>
      <c r="AD457" s="2">
        <f t="shared" si="126"/>
        <v>0</v>
      </c>
      <c r="AE457" s="2">
        <f t="shared" si="127"/>
        <v>0</v>
      </c>
      <c r="AF457" s="2">
        <f t="shared" si="128"/>
        <v>8</v>
      </c>
      <c r="AG457" s="2">
        <f t="shared" si="129"/>
        <v>0</v>
      </c>
      <c r="AH457" s="2">
        <f t="shared" si="130"/>
        <v>0</v>
      </c>
      <c r="AI457" s="1">
        <f t="shared" si="131"/>
        <v>68.975999999999999</v>
      </c>
      <c r="AJ457" s="1">
        <f t="shared" si="132"/>
        <v>48</v>
      </c>
      <c r="AK457" s="1" t="str">
        <f t="shared" si="133"/>
        <v/>
      </c>
      <c r="AL457" s="1" t="str">
        <f t="shared" si="134"/>
        <v/>
      </c>
      <c r="AM457" s="1">
        <f t="shared" si="119"/>
        <v>260</v>
      </c>
      <c r="AN457" s="5">
        <f t="shared" si="120"/>
        <v>0</v>
      </c>
      <c r="AO457" s="1" t="str">
        <f t="shared" si="135"/>
        <v/>
      </c>
    </row>
    <row r="458" spans="1:41">
      <c r="A458" t="s">
        <v>1592</v>
      </c>
      <c r="B458" t="s">
        <v>1593</v>
      </c>
      <c r="C458" t="s">
        <v>1594</v>
      </c>
      <c r="D458">
        <v>80</v>
      </c>
      <c r="E458">
        <v>80</v>
      </c>
      <c r="F458">
        <v>0</v>
      </c>
      <c r="G458">
        <v>10</v>
      </c>
      <c r="L458" t="s">
        <v>1595</v>
      </c>
      <c r="M458" t="s">
        <v>1596</v>
      </c>
      <c r="N458" t="s">
        <v>1207</v>
      </c>
      <c r="O458">
        <v>0</v>
      </c>
      <c r="P458" t="s">
        <v>1157</v>
      </c>
      <c r="Q458" t="s">
        <v>374</v>
      </c>
      <c r="R458">
        <v>3136</v>
      </c>
      <c r="S458" t="s">
        <v>1596</v>
      </c>
      <c r="U458" t="s">
        <v>83</v>
      </c>
      <c r="V458" t="s">
        <v>1158</v>
      </c>
      <c r="W458">
        <v>12279706</v>
      </c>
      <c r="X458" t="s">
        <v>1178</v>
      </c>
      <c r="Y458">
        <f t="shared" si="121"/>
        <v>6.4000000000000001E-2</v>
      </c>
      <c r="Z458">
        <f t="shared" si="122"/>
        <v>3.2</v>
      </c>
      <c r="AA458">
        <f t="shared" si="123"/>
        <v>0</v>
      </c>
      <c r="AB458" s="2">
        <f t="shared" si="124"/>
        <v>12</v>
      </c>
      <c r="AC458" s="2">
        <f t="shared" si="125"/>
        <v>0</v>
      </c>
      <c r="AD458" s="2">
        <f t="shared" si="126"/>
        <v>0</v>
      </c>
      <c r="AE458" s="2">
        <f t="shared" si="127"/>
        <v>0</v>
      </c>
      <c r="AF458" s="2">
        <f t="shared" si="128"/>
        <v>9</v>
      </c>
      <c r="AG458" s="2">
        <f t="shared" si="129"/>
        <v>0</v>
      </c>
      <c r="AH458" s="2">
        <f t="shared" si="130"/>
        <v>0</v>
      </c>
      <c r="AI458" s="1">
        <f t="shared" si="131"/>
        <v>115.2</v>
      </c>
      <c r="AJ458" s="1">
        <f t="shared" si="132"/>
        <v>0</v>
      </c>
      <c r="AK458" s="1" t="str">
        <f t="shared" si="133"/>
        <v/>
      </c>
      <c r="AL458" s="1" t="str">
        <f t="shared" si="134"/>
        <v/>
      </c>
      <c r="AM458" s="1">
        <f t="shared" si="119"/>
        <v>1300</v>
      </c>
      <c r="AN458" s="5">
        <f t="shared" si="120"/>
        <v>0</v>
      </c>
      <c r="AO458" s="1" t="str">
        <f t="shared" si="135"/>
        <v/>
      </c>
    </row>
    <row r="459" spans="1:41">
      <c r="A459" t="s">
        <v>1597</v>
      </c>
      <c r="B459" t="s">
        <v>1353</v>
      </c>
      <c r="C459" t="s">
        <v>1598</v>
      </c>
      <c r="D459">
        <v>400</v>
      </c>
      <c r="E459">
        <v>40</v>
      </c>
      <c r="F459">
        <v>0</v>
      </c>
      <c r="G459">
        <v>2</v>
      </c>
      <c r="H459">
        <v>1</v>
      </c>
      <c r="L459" t="s">
        <v>1599</v>
      </c>
      <c r="M459" t="s">
        <v>1600</v>
      </c>
      <c r="N459" t="s">
        <v>671</v>
      </c>
      <c r="O459">
        <v>0</v>
      </c>
      <c r="P459" t="s">
        <v>360</v>
      </c>
      <c r="Q459" t="s">
        <v>134</v>
      </c>
      <c r="R459">
        <v>10695</v>
      </c>
      <c r="S459" t="s">
        <v>1600</v>
      </c>
      <c r="U459" t="s">
        <v>361</v>
      </c>
      <c r="V459" t="s">
        <v>362</v>
      </c>
      <c r="W459">
        <v>12278662</v>
      </c>
      <c r="X459" t="s">
        <v>363</v>
      </c>
      <c r="Y459">
        <f t="shared" si="121"/>
        <v>3.2000000000000001E-2</v>
      </c>
      <c r="Z459">
        <f t="shared" si="122"/>
        <v>1.76</v>
      </c>
      <c r="AA459">
        <f t="shared" si="123"/>
        <v>0.8</v>
      </c>
      <c r="AB459" s="2">
        <f t="shared" si="124"/>
        <v>13</v>
      </c>
      <c r="AC459" s="2">
        <f t="shared" si="125"/>
        <v>10</v>
      </c>
      <c r="AD459" s="2">
        <f t="shared" si="126"/>
        <v>0</v>
      </c>
      <c r="AE459" s="2">
        <f t="shared" si="127"/>
        <v>0</v>
      </c>
      <c r="AF459" s="2">
        <f t="shared" si="128"/>
        <v>0</v>
      </c>
      <c r="AG459" s="2">
        <f t="shared" si="129"/>
        <v>0</v>
      </c>
      <c r="AH459" s="2">
        <f t="shared" si="130"/>
        <v>0</v>
      </c>
      <c r="AI459" s="1">
        <f t="shared" si="131"/>
        <v>63.36</v>
      </c>
      <c r="AJ459" s="1">
        <f t="shared" si="132"/>
        <v>48</v>
      </c>
      <c r="AK459" s="1" t="str">
        <f t="shared" si="133"/>
        <v/>
      </c>
      <c r="AL459" s="1" t="str">
        <f t="shared" si="134"/>
        <v/>
      </c>
      <c r="AM459" s="1" t="str">
        <f t="shared" si="119"/>
        <v/>
      </c>
      <c r="AN459" s="5">
        <f t="shared" si="120"/>
        <v>0</v>
      </c>
      <c r="AO459" s="1" t="str">
        <f t="shared" si="135"/>
        <v/>
      </c>
    </row>
    <row r="460" spans="1:41">
      <c r="A460" t="s">
        <v>1601</v>
      </c>
      <c r="B460" t="s">
        <v>1602</v>
      </c>
      <c r="C460" t="s">
        <v>1603</v>
      </c>
      <c r="D460">
        <v>398</v>
      </c>
      <c r="E460">
        <v>81</v>
      </c>
      <c r="F460">
        <v>0</v>
      </c>
      <c r="G460">
        <v>6</v>
      </c>
      <c r="H460">
        <v>1</v>
      </c>
      <c r="I460">
        <v>1</v>
      </c>
      <c r="J460">
        <v>1</v>
      </c>
      <c r="K460">
        <v>1</v>
      </c>
      <c r="L460" t="s">
        <v>1604</v>
      </c>
      <c r="M460" t="s">
        <v>1605</v>
      </c>
      <c r="N460" t="s">
        <v>1606</v>
      </c>
      <c r="O460">
        <v>0</v>
      </c>
      <c r="P460" t="s">
        <v>373</v>
      </c>
      <c r="Q460" t="s">
        <v>374</v>
      </c>
      <c r="R460">
        <v>3136</v>
      </c>
      <c r="S460" t="s">
        <v>1605</v>
      </c>
      <c r="U460" t="s">
        <v>83</v>
      </c>
      <c r="V460" t="s">
        <v>375</v>
      </c>
      <c r="W460">
        <v>12276703</v>
      </c>
      <c r="X460" t="s">
        <v>376</v>
      </c>
      <c r="Y460">
        <f t="shared" si="121"/>
        <v>0.19342799999999999</v>
      </c>
      <c r="Z460">
        <f t="shared" si="122"/>
        <v>5.7479999999999993</v>
      </c>
      <c r="AA460">
        <f t="shared" si="123"/>
        <v>5.7479999999999993</v>
      </c>
      <c r="AB460" s="2">
        <f t="shared" si="124"/>
        <v>48</v>
      </c>
      <c r="AC460" s="2">
        <f t="shared" si="125"/>
        <v>41</v>
      </c>
      <c r="AD460" s="2">
        <f t="shared" si="126"/>
        <v>0</v>
      </c>
      <c r="AE460" s="2">
        <f t="shared" si="127"/>
        <v>0</v>
      </c>
      <c r="AF460" s="2">
        <f t="shared" si="128"/>
        <v>0</v>
      </c>
      <c r="AG460" s="2">
        <f t="shared" si="129"/>
        <v>0</v>
      </c>
      <c r="AH460" s="2">
        <f t="shared" si="130"/>
        <v>0</v>
      </c>
      <c r="AI460" s="1">
        <f t="shared" si="131"/>
        <v>206.92799999999997</v>
      </c>
      <c r="AJ460" s="1">
        <f t="shared" si="132"/>
        <v>344.87999999999994</v>
      </c>
      <c r="AK460" s="1" t="str">
        <f t="shared" si="133"/>
        <v/>
      </c>
      <c r="AL460" s="1" t="str">
        <f t="shared" si="134"/>
        <v/>
      </c>
      <c r="AM460" s="1" t="str">
        <f t="shared" si="119"/>
        <v/>
      </c>
      <c r="AN460" s="5">
        <f t="shared" si="120"/>
        <v>0</v>
      </c>
      <c r="AO460" s="1" t="str">
        <f t="shared" si="135"/>
        <v/>
      </c>
    </row>
    <row r="461" spans="1:41">
      <c r="A461" t="s">
        <v>1601</v>
      </c>
      <c r="B461" t="s">
        <v>1602</v>
      </c>
      <c r="C461" t="s">
        <v>1607</v>
      </c>
      <c r="D461">
        <v>398</v>
      </c>
      <c r="E461">
        <v>81</v>
      </c>
      <c r="F461">
        <v>0</v>
      </c>
      <c r="G461">
        <v>6</v>
      </c>
      <c r="H461">
        <v>1</v>
      </c>
      <c r="I461">
        <v>1</v>
      </c>
      <c r="J461">
        <v>1</v>
      </c>
      <c r="K461">
        <v>1</v>
      </c>
      <c r="L461" t="s">
        <v>1604</v>
      </c>
      <c r="M461" t="s">
        <v>1605</v>
      </c>
      <c r="N461" t="s">
        <v>1606</v>
      </c>
      <c r="O461">
        <v>0</v>
      </c>
      <c r="P461" t="s">
        <v>378</v>
      </c>
      <c r="Q461" t="s">
        <v>374</v>
      </c>
      <c r="R461">
        <v>3136</v>
      </c>
      <c r="S461" t="s">
        <v>1605</v>
      </c>
      <c r="U461" t="s">
        <v>83</v>
      </c>
      <c r="V461" t="s">
        <v>375</v>
      </c>
      <c r="W461">
        <v>12277001</v>
      </c>
      <c r="X461" t="s">
        <v>379</v>
      </c>
      <c r="Y461">
        <f t="shared" si="121"/>
        <v>0.19342799999999999</v>
      </c>
      <c r="Z461">
        <f t="shared" si="122"/>
        <v>5.7479999999999993</v>
      </c>
      <c r="AA461">
        <f t="shared" si="123"/>
        <v>5.7479999999999993</v>
      </c>
      <c r="AB461" s="2">
        <f t="shared" si="124"/>
        <v>48</v>
      </c>
      <c r="AC461" s="2">
        <f t="shared" si="125"/>
        <v>41</v>
      </c>
      <c r="AD461" s="2">
        <f t="shared" si="126"/>
        <v>0</v>
      </c>
      <c r="AE461" s="2">
        <f t="shared" si="127"/>
        <v>0</v>
      </c>
      <c r="AF461" s="2">
        <f t="shared" si="128"/>
        <v>0</v>
      </c>
      <c r="AG461" s="2">
        <f t="shared" si="129"/>
        <v>0</v>
      </c>
      <c r="AH461" s="2">
        <f t="shared" si="130"/>
        <v>0</v>
      </c>
      <c r="AI461" s="1">
        <f t="shared" si="131"/>
        <v>206.92799999999997</v>
      </c>
      <c r="AJ461" s="1">
        <f t="shared" si="132"/>
        <v>344.87999999999994</v>
      </c>
      <c r="AK461" s="1" t="str">
        <f t="shared" si="133"/>
        <v/>
      </c>
      <c r="AL461" s="1" t="str">
        <f t="shared" si="134"/>
        <v/>
      </c>
      <c r="AM461" s="1" t="str">
        <f t="shared" si="119"/>
        <v/>
      </c>
      <c r="AN461" s="5">
        <f t="shared" si="120"/>
        <v>0</v>
      </c>
      <c r="AO461" s="1" t="str">
        <f t="shared" si="135"/>
        <v/>
      </c>
    </row>
    <row r="462" spans="1:41">
      <c r="A462" t="s">
        <v>1601</v>
      </c>
      <c r="B462" t="s">
        <v>1602</v>
      </c>
      <c r="C462" t="s">
        <v>1608</v>
      </c>
      <c r="D462">
        <v>398</v>
      </c>
      <c r="E462">
        <v>81</v>
      </c>
      <c r="F462">
        <v>0</v>
      </c>
      <c r="G462">
        <v>2</v>
      </c>
      <c r="H462">
        <v>1</v>
      </c>
      <c r="I462">
        <v>1</v>
      </c>
      <c r="J462">
        <v>1</v>
      </c>
      <c r="K462">
        <v>1</v>
      </c>
      <c r="L462" t="s">
        <v>1604</v>
      </c>
      <c r="M462" t="s">
        <v>1605</v>
      </c>
      <c r="N462" t="s">
        <v>1606</v>
      </c>
      <c r="O462">
        <v>0</v>
      </c>
      <c r="P462" t="s">
        <v>381</v>
      </c>
      <c r="Q462" t="s">
        <v>374</v>
      </c>
      <c r="R462">
        <v>3136</v>
      </c>
      <c r="S462" t="s">
        <v>1605</v>
      </c>
      <c r="U462" t="s">
        <v>83</v>
      </c>
      <c r="V462" t="s">
        <v>375</v>
      </c>
      <c r="W462">
        <v>12277336</v>
      </c>
      <c r="X462" t="s">
        <v>376</v>
      </c>
      <c r="Y462">
        <f t="shared" si="121"/>
        <v>6.4476000000000006E-2</v>
      </c>
      <c r="Z462">
        <f t="shared" si="122"/>
        <v>1.9159999999999999</v>
      </c>
      <c r="AA462">
        <f t="shared" si="123"/>
        <v>1.9159999999999999</v>
      </c>
      <c r="AB462" s="2">
        <f t="shared" si="124"/>
        <v>48</v>
      </c>
      <c r="AC462" s="2">
        <f t="shared" si="125"/>
        <v>41</v>
      </c>
      <c r="AD462" s="2">
        <f t="shared" si="126"/>
        <v>0</v>
      </c>
      <c r="AE462" s="2">
        <f t="shared" si="127"/>
        <v>0</v>
      </c>
      <c r="AF462" s="2">
        <f t="shared" si="128"/>
        <v>0</v>
      </c>
      <c r="AG462" s="2">
        <f t="shared" si="129"/>
        <v>0</v>
      </c>
      <c r="AH462" s="2">
        <f t="shared" si="130"/>
        <v>0</v>
      </c>
      <c r="AI462" s="1">
        <f t="shared" si="131"/>
        <v>68.975999999999999</v>
      </c>
      <c r="AJ462" s="1">
        <f>AA462*60</f>
        <v>114.96</v>
      </c>
      <c r="AK462" s="1" t="str">
        <f t="shared" si="133"/>
        <v/>
      </c>
      <c r="AL462" s="1" t="str">
        <f t="shared" si="134"/>
        <v/>
      </c>
      <c r="AM462" s="1" t="str">
        <f t="shared" si="119"/>
        <v/>
      </c>
      <c r="AN462" s="5">
        <f t="shared" si="120"/>
        <v>0</v>
      </c>
      <c r="AO462" s="1" t="str">
        <f t="shared" si="135"/>
        <v/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5699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alimardani</dc:creator>
  <cp:lastModifiedBy>pl4</cp:lastModifiedBy>
  <dcterms:created xsi:type="dcterms:W3CDTF">2025-12-03T09:07:37Z</dcterms:created>
  <dcterms:modified xsi:type="dcterms:W3CDTF">2025-12-06T05:07:14Z</dcterms:modified>
</cp:coreProperties>
</file>